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umar\OneDrive - Chandigarh University\Desktop\"/>
    </mc:Choice>
  </mc:AlternateContent>
  <xr:revisionPtr revIDLastSave="0" documentId="13_ncr:1_{DE74301A-18DC-4067-B0B9-F9D00C94AA73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Employee Database" sheetId="1" r:id="rId1"/>
    <sheet name="Department Summary" sheetId="2" r:id="rId2"/>
    <sheet name="Performance Analytics" sheetId="3" r:id="rId3"/>
    <sheet name="Executive Dashboard" sheetId="5" r:id="rId4"/>
    <sheet name="Salary Analysis" sheetId="4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6" i="5" l="1"/>
  <c r="C26" i="5"/>
  <c r="B26" i="5"/>
  <c r="D25" i="5"/>
  <c r="C25" i="5"/>
  <c r="B25" i="5"/>
  <c r="D24" i="5"/>
  <c r="C24" i="5"/>
  <c r="B24" i="5"/>
  <c r="D23" i="5"/>
  <c r="C23" i="5"/>
  <c r="B23" i="5"/>
  <c r="D22" i="5"/>
  <c r="C22" i="5"/>
  <c r="B22" i="5"/>
  <c r="D21" i="5"/>
  <c r="C21" i="5"/>
  <c r="B21" i="5"/>
  <c r="F20" i="5"/>
  <c r="D20" i="5"/>
  <c r="C20" i="5"/>
  <c r="B20" i="5"/>
  <c r="D19" i="5"/>
  <c r="C19" i="5"/>
  <c r="B19" i="5"/>
  <c r="E11" i="5"/>
  <c r="C11" i="5"/>
  <c r="E5" i="5"/>
  <c r="C5" i="5"/>
  <c r="A5" i="5"/>
  <c r="G11" i="4"/>
  <c r="E11" i="4"/>
  <c r="D11" i="4"/>
  <c r="C11" i="4"/>
  <c r="F11" i="4" s="1"/>
  <c r="E10" i="4"/>
  <c r="B10" i="4"/>
  <c r="E9" i="4"/>
  <c r="B9" i="4"/>
  <c r="E8" i="4"/>
  <c r="B8" i="4"/>
  <c r="E7" i="4"/>
  <c r="B7" i="4"/>
  <c r="E6" i="4"/>
  <c r="B6" i="4"/>
  <c r="B11" i="4" s="1"/>
  <c r="E5" i="4"/>
  <c r="B5" i="4"/>
  <c r="C17" i="3"/>
  <c r="B17" i="3"/>
  <c r="B16" i="3"/>
  <c r="C16" i="3" s="1"/>
  <c r="C15" i="3"/>
  <c r="B15" i="3"/>
  <c r="B14" i="3"/>
  <c r="C14" i="3" s="1"/>
  <c r="J10" i="3"/>
  <c r="G10" i="3"/>
  <c r="J9" i="3"/>
  <c r="G9" i="3"/>
  <c r="D9" i="3"/>
  <c r="J8" i="3"/>
  <c r="G8" i="3"/>
  <c r="D8" i="3"/>
  <c r="C8" i="3"/>
  <c r="B8" i="3"/>
  <c r="J7" i="3"/>
  <c r="G7" i="3"/>
  <c r="D7" i="3"/>
  <c r="B7" i="3"/>
  <c r="C7" i="3" s="1"/>
  <c r="J6" i="3"/>
  <c r="H6" i="3"/>
  <c r="G6" i="3"/>
  <c r="I6" i="3" s="1"/>
  <c r="D6" i="3"/>
  <c r="B6" i="3"/>
  <c r="C6" i="3" s="1"/>
  <c r="J5" i="3"/>
  <c r="G5" i="3"/>
  <c r="D5" i="3"/>
  <c r="C5" i="3"/>
  <c r="C9" i="3" s="1"/>
  <c r="B5" i="3"/>
  <c r="Q53" i="1"/>
  <c r="P53" i="1"/>
  <c r="I53" i="1"/>
  <c r="J53" i="1" s="1"/>
  <c r="K53" i="1" s="1"/>
  <c r="Q52" i="1"/>
  <c r="P52" i="1"/>
  <c r="I52" i="1"/>
  <c r="J52" i="1" s="1"/>
  <c r="K52" i="1" s="1"/>
  <c r="Q51" i="1"/>
  <c r="P51" i="1"/>
  <c r="I51" i="1"/>
  <c r="J51" i="1" s="1"/>
  <c r="K51" i="1" s="1"/>
  <c r="P50" i="1"/>
  <c r="I50" i="1"/>
  <c r="J50" i="1" s="1"/>
  <c r="K50" i="1" s="1"/>
  <c r="Q49" i="1"/>
  <c r="P49" i="1"/>
  <c r="I49" i="1"/>
  <c r="J49" i="1" s="1"/>
  <c r="K49" i="1" s="1"/>
  <c r="Q48" i="1"/>
  <c r="P48" i="1"/>
  <c r="I48" i="1"/>
  <c r="J48" i="1" s="1"/>
  <c r="K48" i="1" s="1"/>
  <c r="Q47" i="1"/>
  <c r="P47" i="1"/>
  <c r="I47" i="1"/>
  <c r="J47" i="1" s="1"/>
  <c r="K47" i="1" s="1"/>
  <c r="P46" i="1"/>
  <c r="J46" i="1"/>
  <c r="K46" i="1" s="1"/>
  <c r="I46" i="1"/>
  <c r="Q45" i="1"/>
  <c r="P45" i="1"/>
  <c r="J45" i="1"/>
  <c r="K45" i="1" s="1"/>
  <c r="I45" i="1"/>
  <c r="Q44" i="1"/>
  <c r="P44" i="1"/>
  <c r="J44" i="1"/>
  <c r="K44" i="1" s="1"/>
  <c r="I44" i="1"/>
  <c r="Q43" i="1"/>
  <c r="P43" i="1"/>
  <c r="I43" i="1"/>
  <c r="J43" i="1" s="1"/>
  <c r="K43" i="1" s="1"/>
  <c r="Q42" i="1"/>
  <c r="P42" i="1"/>
  <c r="I42" i="1"/>
  <c r="J42" i="1" s="1"/>
  <c r="K42" i="1" s="1"/>
  <c r="Q41" i="1"/>
  <c r="P41" i="1"/>
  <c r="I41" i="1"/>
  <c r="J41" i="1" s="1"/>
  <c r="K41" i="1" s="1"/>
  <c r="Q40" i="1"/>
  <c r="P40" i="1"/>
  <c r="J40" i="1"/>
  <c r="K40" i="1" s="1"/>
  <c r="I40" i="1"/>
  <c r="Q39" i="1"/>
  <c r="P39" i="1"/>
  <c r="I39" i="1"/>
  <c r="J39" i="1" s="1"/>
  <c r="K39" i="1" s="1"/>
  <c r="Q38" i="1"/>
  <c r="P38" i="1"/>
  <c r="I38" i="1"/>
  <c r="J38" i="1" s="1"/>
  <c r="K38" i="1" s="1"/>
  <c r="Q37" i="1"/>
  <c r="P37" i="1"/>
  <c r="I37" i="1"/>
  <c r="J37" i="1" s="1"/>
  <c r="K37" i="1" s="1"/>
  <c r="Q36" i="1"/>
  <c r="P36" i="1"/>
  <c r="I36" i="1"/>
  <c r="J36" i="1" s="1"/>
  <c r="K36" i="1" s="1"/>
  <c r="Q35" i="1"/>
  <c r="P35" i="1"/>
  <c r="I35" i="1"/>
  <c r="J35" i="1" s="1"/>
  <c r="K35" i="1" s="1"/>
  <c r="Q34" i="1"/>
  <c r="P34" i="1"/>
  <c r="I34" i="1"/>
  <c r="J34" i="1" s="1"/>
  <c r="K34" i="1" s="1"/>
  <c r="Q33" i="1"/>
  <c r="P33" i="1"/>
  <c r="K33" i="1"/>
  <c r="J33" i="1"/>
  <c r="I33" i="1"/>
  <c r="P32" i="1"/>
  <c r="J32" i="1"/>
  <c r="K32" i="1" s="1"/>
  <c r="I32" i="1"/>
  <c r="Q31" i="1"/>
  <c r="P31" i="1"/>
  <c r="J31" i="1"/>
  <c r="K31" i="1" s="1"/>
  <c r="I31" i="1"/>
  <c r="Q30" i="1"/>
  <c r="P30" i="1"/>
  <c r="I30" i="1"/>
  <c r="J30" i="1" s="1"/>
  <c r="Q29" i="1"/>
  <c r="P29" i="1"/>
  <c r="I29" i="1"/>
  <c r="J29" i="1" s="1"/>
  <c r="K29" i="1" s="1"/>
  <c r="Q28" i="1"/>
  <c r="P28" i="1"/>
  <c r="I28" i="1"/>
  <c r="J28" i="1" s="1"/>
  <c r="K28" i="1" s="1"/>
  <c r="Q27" i="1"/>
  <c r="P27" i="1"/>
  <c r="J27" i="1"/>
  <c r="K27" i="1" s="1"/>
  <c r="I27" i="1"/>
  <c r="Q26" i="1"/>
  <c r="P26" i="1"/>
  <c r="I26" i="1"/>
  <c r="J26" i="1" s="1"/>
  <c r="K26" i="1" s="1"/>
  <c r="Q25" i="1"/>
  <c r="P25" i="1"/>
  <c r="I25" i="1"/>
  <c r="J25" i="1" s="1"/>
  <c r="K25" i="1" s="1"/>
  <c r="Q24" i="1"/>
  <c r="P24" i="1"/>
  <c r="I24" i="1"/>
  <c r="J24" i="1" s="1"/>
  <c r="K24" i="1" s="1"/>
  <c r="H7" i="4" s="1"/>
  <c r="Q23" i="1"/>
  <c r="P23" i="1"/>
  <c r="J11" i="2" s="1"/>
  <c r="I23" i="1"/>
  <c r="J23" i="1" s="1"/>
  <c r="Q22" i="1"/>
  <c r="P22" i="1"/>
  <c r="I22" i="1"/>
  <c r="J22" i="1" s="1"/>
  <c r="K22" i="1" s="1"/>
  <c r="Q21" i="1"/>
  <c r="P21" i="1"/>
  <c r="I21" i="1"/>
  <c r="J21" i="1" s="1"/>
  <c r="K21" i="1" s="1"/>
  <c r="Q20" i="1"/>
  <c r="P20" i="1"/>
  <c r="K20" i="1"/>
  <c r="J20" i="1"/>
  <c r="I20" i="1"/>
  <c r="Q19" i="1"/>
  <c r="P19" i="1"/>
  <c r="K19" i="1"/>
  <c r="J19" i="1"/>
  <c r="I19" i="1"/>
  <c r="P18" i="1"/>
  <c r="J18" i="1"/>
  <c r="K18" i="1" s="1"/>
  <c r="I18" i="1"/>
  <c r="Q17" i="1"/>
  <c r="P17" i="1"/>
  <c r="I17" i="1"/>
  <c r="J17" i="1" s="1"/>
  <c r="K17" i="1" s="1"/>
  <c r="Q16" i="1"/>
  <c r="P16" i="1"/>
  <c r="I16" i="1"/>
  <c r="J16" i="1" s="1"/>
  <c r="K16" i="1" s="1"/>
  <c r="Q15" i="1"/>
  <c r="P15" i="1"/>
  <c r="I15" i="1"/>
  <c r="E7" i="2" s="1"/>
  <c r="Q14" i="1"/>
  <c r="P14" i="1"/>
  <c r="J14" i="1"/>
  <c r="K14" i="1" s="1"/>
  <c r="I14" i="1"/>
  <c r="Q13" i="1"/>
  <c r="F18" i="4" s="1"/>
  <c r="P13" i="1"/>
  <c r="I13" i="1"/>
  <c r="J13" i="1" s="1"/>
  <c r="Q12" i="1"/>
  <c r="P12" i="1"/>
  <c r="I12" i="1"/>
  <c r="J12" i="1" s="1"/>
  <c r="K12" i="1" s="1"/>
  <c r="P11" i="1"/>
  <c r="I11" i="1"/>
  <c r="J11" i="1" s="1"/>
  <c r="Q10" i="1"/>
  <c r="H16" i="4" s="1"/>
  <c r="P10" i="1"/>
  <c r="K10" i="1"/>
  <c r="J10" i="1"/>
  <c r="I10" i="1"/>
  <c r="Q9" i="1"/>
  <c r="P9" i="1"/>
  <c r="K9" i="1"/>
  <c r="J9" i="1"/>
  <c r="I9" i="1"/>
  <c r="Q8" i="1"/>
  <c r="P8" i="1"/>
  <c r="I8" i="1"/>
  <c r="J8" i="1" s="1"/>
  <c r="Q7" i="1"/>
  <c r="C16" i="4" s="1"/>
  <c r="D16" i="4" s="1"/>
  <c r="P7" i="1"/>
  <c r="J4" i="2" s="1"/>
  <c r="J7" i="1"/>
  <c r="K7" i="1" s="1"/>
  <c r="I7" i="1"/>
  <c r="Q6" i="1"/>
  <c r="P6" i="1"/>
  <c r="J6" i="1"/>
  <c r="K6" i="1" s="1"/>
  <c r="I6" i="1"/>
  <c r="Q5" i="1"/>
  <c r="P5" i="1"/>
  <c r="J5" i="1"/>
  <c r="K5" i="1" s="1"/>
  <c r="I5" i="1"/>
  <c r="Q4" i="1"/>
  <c r="P4" i="1"/>
  <c r="F26" i="5" s="1"/>
  <c r="I4" i="1"/>
  <c r="E5" i="2" s="1"/>
  <c r="I12" i="2"/>
  <c r="I11" i="2"/>
  <c r="H11" i="2"/>
  <c r="D11" i="2"/>
  <c r="C11" i="2"/>
  <c r="B11" i="2"/>
  <c r="I10" i="2"/>
  <c r="H10" i="2"/>
  <c r="D10" i="2"/>
  <c r="C10" i="2"/>
  <c r="B10" i="2"/>
  <c r="I9" i="2"/>
  <c r="H9" i="2"/>
  <c r="D9" i="2"/>
  <c r="C9" i="2"/>
  <c r="B9" i="2"/>
  <c r="J8" i="2"/>
  <c r="I8" i="2"/>
  <c r="H8" i="2"/>
  <c r="E8" i="2"/>
  <c r="D8" i="2"/>
  <c r="C8" i="2"/>
  <c r="B8" i="2"/>
  <c r="I7" i="2"/>
  <c r="H7" i="2"/>
  <c r="D7" i="2"/>
  <c r="C7" i="2"/>
  <c r="B7" i="2"/>
  <c r="I6" i="2"/>
  <c r="H6" i="2"/>
  <c r="D6" i="2"/>
  <c r="C6" i="2"/>
  <c r="B6" i="2"/>
  <c r="J5" i="2"/>
  <c r="I5" i="2"/>
  <c r="H5" i="2"/>
  <c r="H12" i="2" s="1"/>
  <c r="D5" i="2"/>
  <c r="C5" i="2"/>
  <c r="B5" i="2"/>
  <c r="I4" i="2"/>
  <c r="H4" i="2"/>
  <c r="E4" i="2"/>
  <c r="D4" i="2"/>
  <c r="D12" i="2" s="1"/>
  <c r="C4" i="2"/>
  <c r="C12" i="2" s="1"/>
  <c r="B4" i="2"/>
  <c r="B12" i="2" s="1"/>
  <c r="F9" i="2" l="1"/>
  <c r="K30" i="1"/>
  <c r="E24" i="5" s="1"/>
  <c r="F6" i="2"/>
  <c r="K23" i="1"/>
  <c r="D16" i="3"/>
  <c r="E19" i="5"/>
  <c r="G4" i="2"/>
  <c r="E23" i="5"/>
  <c r="G8" i="2"/>
  <c r="K11" i="1"/>
  <c r="D17" i="3" s="1"/>
  <c r="F11" i="2"/>
  <c r="H6" i="4"/>
  <c r="K8" i="1"/>
  <c r="K13" i="1"/>
  <c r="F10" i="2"/>
  <c r="G20" i="4"/>
  <c r="E9" i="2"/>
  <c r="E18" i="4"/>
  <c r="F23" i="5"/>
  <c r="G9" i="2"/>
  <c r="E11" i="2"/>
  <c r="J4" i="1"/>
  <c r="B9" i="3"/>
  <c r="G18" i="4"/>
  <c r="H18" i="4"/>
  <c r="F4" i="2"/>
  <c r="E16" i="4"/>
  <c r="C19" i="4"/>
  <c r="D19" i="4" s="1"/>
  <c r="A11" i="5"/>
  <c r="J7" i="2"/>
  <c r="E6" i="2"/>
  <c r="E12" i="2" s="1"/>
  <c r="F24" i="5"/>
  <c r="J9" i="2"/>
  <c r="F16" i="4"/>
  <c r="H9" i="3"/>
  <c r="I9" i="3" s="1"/>
  <c r="E19" i="4"/>
  <c r="F21" i="5"/>
  <c r="J15" i="1"/>
  <c r="K15" i="1" s="1"/>
  <c r="C17" i="4"/>
  <c r="D17" i="4" s="1"/>
  <c r="G19" i="4"/>
  <c r="E10" i="2"/>
  <c r="H19" i="4"/>
  <c r="F19" i="4"/>
  <c r="H7" i="3"/>
  <c r="I7" i="3" s="1"/>
  <c r="J6" i="2"/>
  <c r="J12" i="2" s="1"/>
  <c r="H5" i="3"/>
  <c r="I5" i="3" s="1"/>
  <c r="H10" i="3"/>
  <c r="I10" i="3" s="1"/>
  <c r="E17" i="4"/>
  <c r="C20" i="4"/>
  <c r="D20" i="4" s="1"/>
  <c r="F25" i="5"/>
  <c r="F8" i="2"/>
  <c r="F17" i="4"/>
  <c r="F22" i="5"/>
  <c r="G17" i="4"/>
  <c r="E20" i="4"/>
  <c r="F19" i="5"/>
  <c r="H17" i="4"/>
  <c r="F20" i="4"/>
  <c r="J10" i="2"/>
  <c r="C18" i="4"/>
  <c r="D18" i="4" s="1"/>
  <c r="H8" i="3"/>
  <c r="I8" i="3" s="1"/>
  <c r="H20" i="4"/>
  <c r="F5" i="2" l="1"/>
  <c r="K4" i="1"/>
  <c r="E26" i="5"/>
  <c r="H8" i="4"/>
  <c r="G11" i="2"/>
  <c r="G6" i="2"/>
  <c r="E21" i="5"/>
  <c r="G10" i="2"/>
  <c r="H9" i="4"/>
  <c r="E25" i="5"/>
  <c r="F7" i="2"/>
  <c r="F12" i="2" s="1"/>
  <c r="D14" i="3"/>
  <c r="E22" i="5"/>
  <c r="H10" i="4"/>
  <c r="G7" i="2"/>
  <c r="G5" i="2" l="1"/>
  <c r="G12" i="2" s="1"/>
  <c r="H5" i="4"/>
  <c r="G11" i="5"/>
  <c r="H11" i="4"/>
  <c r="G5" i="5"/>
  <c r="D15" i="3"/>
  <c r="E20" i="5"/>
  <c r="G16" i="4"/>
</calcChain>
</file>

<file path=xl/sharedStrings.xml><?xml version="1.0" encoding="utf-8"?>
<sst xmlns="http://schemas.openxmlformats.org/spreadsheetml/2006/main" count="540" uniqueCount="271">
  <si>
    <t>DEPARTMENT PERFORMANCE SUMMARY</t>
  </si>
  <si>
    <t>Auto-calculated from Employee Database | Use slicers/filters for drill-down</t>
  </si>
  <si>
    <t>Department</t>
  </si>
  <si>
    <t>Head Count</t>
  </si>
  <si>
    <t>Avg Base Salary</t>
  </si>
  <si>
    <t>Total Payroll</t>
  </si>
  <si>
    <t>Avg Bonus %</t>
  </si>
  <si>
    <t>Total Bonus</t>
  </si>
  <si>
    <t>Total Comp Cost</t>
  </si>
  <si>
    <t>Avg KPI Score</t>
  </si>
  <si>
    <t>Avg Attendance %</t>
  </si>
  <si>
    <t>Eligible for Promo</t>
  </si>
  <si>
    <t>Engineering</t>
  </si>
  <si>
    <t>Marketing</t>
  </si>
  <si>
    <t>Sales</t>
  </si>
  <si>
    <t>Finance</t>
  </si>
  <si>
    <t>HR</t>
  </si>
  <si>
    <t>Operations</t>
  </si>
  <si>
    <t>Product</t>
  </si>
  <si>
    <t>Legal</t>
  </si>
  <si>
    <t>TOTAL / AVERAGE</t>
  </si>
  <si>
    <t>Total Compensation Cost by Department</t>
  </si>
  <si>
    <t>EMPLOYEE PERFORMANCE &amp; SALARY MANAGEMENT SYSTEM</t>
  </si>
  <si>
    <t>Confidential — HR Department | Fiscal Year 2025</t>
  </si>
  <si>
    <t>Emp ID</t>
  </si>
  <si>
    <t>Full Name</t>
  </si>
  <si>
    <t>Job Title</t>
  </si>
  <si>
    <t>Level</t>
  </si>
  <si>
    <t>Hire Date</t>
  </si>
  <si>
    <t>Years Exp</t>
  </si>
  <si>
    <t>Base Salary</t>
  </si>
  <si>
    <t>Bonus %</t>
  </si>
  <si>
    <t>Bonus Amount</t>
  </si>
  <si>
    <t>Total Comp</t>
  </si>
  <si>
    <t>Performance Rating</t>
  </si>
  <si>
    <t>KPI Score</t>
  </si>
  <si>
    <t>Attendance %</t>
  </si>
  <si>
    <t>Training hrs</t>
  </si>
  <si>
    <t>Promotion Eligible</t>
  </si>
  <si>
    <t>Salary Band</t>
  </si>
  <si>
    <t>Status</t>
  </si>
  <si>
    <t>EMP0001</t>
  </si>
  <si>
    <t>Jessica Davis</t>
  </si>
  <si>
    <t>SEO Specialist</t>
  </si>
  <si>
    <t>Junior</t>
  </si>
  <si>
    <t>2021-11-01</t>
  </si>
  <si>
    <t>Outstanding</t>
  </si>
  <si>
    <t>Active</t>
  </si>
  <si>
    <t>EMP0002</t>
  </si>
  <si>
    <t>Jessica Thompson</t>
  </si>
  <si>
    <t>DevOps Engineer</t>
  </si>
  <si>
    <t>2007-04-01</t>
  </si>
  <si>
    <t>Below</t>
  </si>
  <si>
    <t>EMP0003</t>
  </si>
  <si>
    <t>Melissa Anderson</t>
  </si>
  <si>
    <t>Recruiter</t>
  </si>
  <si>
    <t>2018-06-01</t>
  </si>
  <si>
    <t>Meets</t>
  </si>
  <si>
    <t>EMP0004</t>
  </si>
  <si>
    <t>Rebecca Brown</t>
  </si>
  <si>
    <t>HRBP</t>
  </si>
  <si>
    <t>2012-02-01</t>
  </si>
  <si>
    <t>EMP0005</t>
  </si>
  <si>
    <t>Maria Davis</t>
  </si>
  <si>
    <t>Financial Analyst</t>
  </si>
  <si>
    <t>Director</t>
  </si>
  <si>
    <t>2022-04-01</t>
  </si>
  <si>
    <t>EMP0006</t>
  </si>
  <si>
    <t>William Williams</t>
  </si>
  <si>
    <t>Logistics Coordinator</t>
  </si>
  <si>
    <t>Senior</t>
  </si>
  <si>
    <t>2019-09-01</t>
  </si>
  <si>
    <t>On Leave</t>
  </si>
  <si>
    <t>EMP0007</t>
  </si>
  <si>
    <t>Controller</t>
  </si>
  <si>
    <t>2014-07-01</t>
  </si>
  <si>
    <t>EMP0008</t>
  </si>
  <si>
    <t>Michael Wilson</t>
  </si>
  <si>
    <t>CLO</t>
  </si>
  <si>
    <t>Lead</t>
  </si>
  <si>
    <t>2007-09-01</t>
  </si>
  <si>
    <t>Band 4 (Lead/Mgr)</t>
  </si>
  <si>
    <t>EMP0009</t>
  </si>
  <si>
    <t>David Johnson</t>
  </si>
  <si>
    <t>FP&amp;A Manager</t>
  </si>
  <si>
    <t>Mid</t>
  </si>
  <si>
    <t>2020-11-01</t>
  </si>
  <si>
    <t>EMP0010</t>
  </si>
  <si>
    <t>Charles Wilson</t>
  </si>
  <si>
    <t>Head of Product</t>
  </si>
  <si>
    <t>Manager</t>
  </si>
  <si>
    <t>2024-11-01</t>
  </si>
  <si>
    <t>Probation</t>
  </si>
  <si>
    <t>EMP0011</t>
  </si>
  <si>
    <t>Melissa Garcia</t>
  </si>
  <si>
    <t>Process Manager</t>
  </si>
  <si>
    <t>2016-09-01</t>
  </si>
  <si>
    <t>Exceeds</t>
  </si>
  <si>
    <t>EMP0012</t>
  </si>
  <si>
    <t>Emily Lee</t>
  </si>
  <si>
    <t>2008-01-01</t>
  </si>
  <si>
    <t>EMP0013</t>
  </si>
  <si>
    <t>Jessica Moore</t>
  </si>
  <si>
    <t>HR Generalist</t>
  </si>
  <si>
    <t>2022-12-01</t>
  </si>
  <si>
    <t>EMP0014</t>
  </si>
  <si>
    <t>William Thompson</t>
  </si>
  <si>
    <t>Compliance Officer</t>
  </si>
  <si>
    <t>2011-04-01</t>
  </si>
  <si>
    <t>EMP0015</t>
  </si>
  <si>
    <t>Sarah Davis</t>
  </si>
  <si>
    <t>COO</t>
  </si>
  <si>
    <t>2014-01-01</t>
  </si>
  <si>
    <t>EMP0016</t>
  </si>
  <si>
    <t>Maria Anderson</t>
  </si>
  <si>
    <t>Software Engineer</t>
  </si>
  <si>
    <t>2017-05-01</t>
  </si>
  <si>
    <t>EMP0017</t>
  </si>
  <si>
    <t>Melissa Miller</t>
  </si>
  <si>
    <t>2011-06-01</t>
  </si>
  <si>
    <t>EMP0018</t>
  </si>
  <si>
    <t>Product Analyst</t>
  </si>
  <si>
    <t>2007-08-01</t>
  </si>
  <si>
    <t>EMP0019</t>
  </si>
  <si>
    <t>Maria Lee</t>
  </si>
  <si>
    <t>Marketing Analyst</t>
  </si>
  <si>
    <t>EMP0020</t>
  </si>
  <si>
    <t>Richard Wilson</t>
  </si>
  <si>
    <t>Account Executive</t>
  </si>
  <si>
    <t>2010-05-01</t>
  </si>
  <si>
    <t>EMP0021</t>
  </si>
  <si>
    <t>Maria Moore</t>
  </si>
  <si>
    <t>Accountant</t>
  </si>
  <si>
    <t>2023-12-01</t>
  </si>
  <si>
    <t>EMP0022</t>
  </si>
  <si>
    <t>Emily Williams</t>
  </si>
  <si>
    <t>2017-07-01</t>
  </si>
  <si>
    <t>EMP0023</t>
  </si>
  <si>
    <t>Melissa Moore</t>
  </si>
  <si>
    <t>2014-05-01</t>
  </si>
  <si>
    <t>EMP0024</t>
  </si>
  <si>
    <t>Thomas Anderson</t>
  </si>
  <si>
    <t>Business Dev Manager</t>
  </si>
  <si>
    <t>2022-01-01</t>
  </si>
  <si>
    <t>EMP0025</t>
  </si>
  <si>
    <t>Michael Thomas</t>
  </si>
  <si>
    <t>2017-06-01</t>
  </si>
  <si>
    <t>EMP0026</t>
  </si>
  <si>
    <t>Sarah Jones</t>
  </si>
  <si>
    <t>QA Engineer</t>
  </si>
  <si>
    <t>2021-12-01</t>
  </si>
  <si>
    <t>EMP0027</t>
  </si>
  <si>
    <t>Charles Martin</t>
  </si>
  <si>
    <t>2023-02-01</t>
  </si>
  <si>
    <t>EMP0028</t>
  </si>
  <si>
    <t>Emily Harris</t>
  </si>
  <si>
    <t>2011-09-01</t>
  </si>
  <si>
    <t>EMP0029</t>
  </si>
  <si>
    <t>Melissa Jones</t>
  </si>
  <si>
    <t>2013-01-01</t>
  </si>
  <si>
    <t>EMP0030</t>
  </si>
  <si>
    <t>Jessica Garcia</t>
  </si>
  <si>
    <t>UX Designer</t>
  </si>
  <si>
    <t>2019-07-01</t>
  </si>
  <si>
    <t>EMP0031</t>
  </si>
  <si>
    <t>Sarah Jackson</t>
  </si>
  <si>
    <t>2009-04-01</t>
  </si>
  <si>
    <t>EMP0032</t>
  </si>
  <si>
    <t>Robert Jackson</t>
  </si>
  <si>
    <t>2022-05-01</t>
  </si>
  <si>
    <t>EMP0033</t>
  </si>
  <si>
    <t>Daniel Wilson</t>
  </si>
  <si>
    <t>Brand Manager</t>
  </si>
  <si>
    <t>2005-07-01</t>
  </si>
  <si>
    <t>EMP0034</t>
  </si>
  <si>
    <t>William Johnson</t>
  </si>
  <si>
    <t>2024-09-01</t>
  </si>
  <si>
    <t>EMP0035</t>
  </si>
  <si>
    <t>Laura Anderson</t>
  </si>
  <si>
    <t>EMP0036</t>
  </si>
  <si>
    <t>Robert White</t>
  </si>
  <si>
    <t>2012-11-01</t>
  </si>
  <si>
    <t>EMP0037</t>
  </si>
  <si>
    <t>2005-11-01</t>
  </si>
  <si>
    <t>EMP0038</t>
  </si>
  <si>
    <t>Ashley Thompson</t>
  </si>
  <si>
    <t>2005-06-01</t>
  </si>
  <si>
    <t>EMP0039</t>
  </si>
  <si>
    <t>2005-02-01</t>
  </si>
  <si>
    <t>EMP0040</t>
  </si>
  <si>
    <t>Jessica Jones</t>
  </si>
  <si>
    <t>2024-02-01</t>
  </si>
  <si>
    <t>EMP0041</t>
  </si>
  <si>
    <t>Michael Harris</t>
  </si>
  <si>
    <t>2007-10-01</t>
  </si>
  <si>
    <t>EMP0042</t>
  </si>
  <si>
    <t>Emily Martin</t>
  </si>
  <si>
    <t>2017-11-01</t>
  </si>
  <si>
    <t>EMP0043</t>
  </si>
  <si>
    <t>Ashley Davis</t>
  </si>
  <si>
    <t>2014-09-01</t>
  </si>
  <si>
    <t>EMP0044</t>
  </si>
  <si>
    <t>2011-01-01</t>
  </si>
  <si>
    <t>EMP0045</t>
  </si>
  <si>
    <t>Amanda Taylor</t>
  </si>
  <si>
    <t>Product Manager</t>
  </si>
  <si>
    <t>EMP0046</t>
  </si>
  <si>
    <t>Stephanie Smith</t>
  </si>
  <si>
    <t>2012-12-01</t>
  </si>
  <si>
    <t>EMP0047</t>
  </si>
  <si>
    <t>David White</t>
  </si>
  <si>
    <t>2010-03-01</t>
  </si>
  <si>
    <t>EMP0048</t>
  </si>
  <si>
    <t>Melissa Wilson</t>
  </si>
  <si>
    <t>2009-01-01</t>
  </si>
  <si>
    <t>EMP0049</t>
  </si>
  <si>
    <t>James Davis</t>
  </si>
  <si>
    <t>2024-10-01</t>
  </si>
  <si>
    <t>EMP0050</t>
  </si>
  <si>
    <t>Amanda Garcia</t>
  </si>
  <si>
    <t>Contract Manager</t>
  </si>
  <si>
    <t>2021-03-01</t>
  </si>
  <si>
    <t>PERFORMANCE ANALYTICS DASHBOARD</t>
  </si>
  <si>
    <t>Performance Rating Distribution</t>
  </si>
  <si>
    <t>Promotion Eligibility Pipeline</t>
  </si>
  <si>
    <t>Rating</t>
  </si>
  <si>
    <t>Count</t>
  </si>
  <si>
    <t>% of Total</t>
  </si>
  <si>
    <t>Avg KPI</t>
  </si>
  <si>
    <t>Total</t>
  </si>
  <si>
    <t>Eligible</t>
  </si>
  <si>
    <t>% Eligible</t>
  </si>
  <si>
    <t>Avg Salary</t>
  </si>
  <si>
    <t>KPI Threshold Breakdown</t>
  </si>
  <si>
    <t>KPI Range</t>
  </si>
  <si>
    <t>Employee Count</t>
  </si>
  <si>
    <t>% Share</t>
  </si>
  <si>
    <t>Avg Total Comp</t>
  </si>
  <si>
    <t>90-100 (Top)</t>
  </si>
  <si>
    <t>80-89 (Good)</t>
  </si>
  <si>
    <t>70-79 (Average)</t>
  </si>
  <si>
    <t>Below 70 (At Risk)</t>
  </si>
  <si>
    <t>COMPENSATION &amp; SALARY ANALYSIS</t>
  </si>
  <si>
    <t>Salary Statistics by Level</t>
  </si>
  <si>
    <t>Min Salary</t>
  </si>
  <si>
    <t>Max Salary</t>
  </si>
  <si>
    <t>Median (Approx)</t>
  </si>
  <si>
    <t>Std Dev</t>
  </si>
  <si>
    <t>Total Cost</t>
  </si>
  <si>
    <t>Company Total</t>
  </si>
  <si>
    <t>Salary Band Distribution</t>
  </si>
  <si>
    <t>Band</t>
  </si>
  <si>
    <t>Range</t>
  </si>
  <si>
    <t>% of Workforce</t>
  </si>
  <si>
    <t>Avg Attendance</t>
  </si>
  <si>
    <t>Promo Eligible</t>
  </si>
  <si>
    <t>Band 1 (Junior)</t>
  </si>
  <si>
    <t>&lt;$65K</t>
  </si>
  <si>
    <t>Band 2 (Mid)</t>
  </si>
  <si>
    <t>$65K-$90K</t>
  </si>
  <si>
    <t>Band 3 (Senior)</t>
  </si>
  <si>
    <t>$90K-$130K</t>
  </si>
  <si>
    <t>$130K-$170K</t>
  </si>
  <si>
    <t>Band 5 (Director)</t>
  </si>
  <si>
    <t>$170K+</t>
  </si>
  <si>
    <t>EXECUTIVE HR DASHBOARD</t>
  </si>
  <si>
    <t>Real-time KPIs — Linked from source sheets | FY2025</t>
  </si>
  <si>
    <t>Total Employees</t>
  </si>
  <si>
    <t>Outstanding Perf</t>
  </si>
  <si>
    <t>Department Quick View</t>
  </si>
  <si>
    <t>Promo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</si>
</sst>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"/>
    <numFmt numFmtId="166" formatCode="0.0%"/>
  </numFmts>
  <fonts count="25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0"/>
      <color rgb="FFAAAAAA"/>
      <name val="Arial"/>
      <charset val="1"/>
    </font>
    <font>
      <b/>
      <sz val="10"/>
      <color rgb="FFFFFFFF"/>
      <name val="Arial"/>
      <charset val="1"/>
    </font>
    <font>
      <sz val="9"/>
      <color rgb="FF1F1F1F"/>
      <name val="Arial"/>
      <charset val="1"/>
    </font>
    <font>
      <b/>
      <sz val="9"/>
      <color rgb="FF375623"/>
      <name val="Arial"/>
      <charset val="1"/>
    </font>
    <font>
      <b/>
      <sz val="9"/>
      <color rgb="FFED7D31"/>
      <name val="Arial"/>
      <charset val="1"/>
    </font>
    <font>
      <b/>
      <sz val="9"/>
      <color rgb="FFC00000"/>
      <name val="Arial"/>
      <charset val="1"/>
    </font>
    <font>
      <b/>
      <sz val="14"/>
      <color rgb="FFFFFFFF"/>
      <name val="Arial"/>
      <charset val="1"/>
    </font>
    <font>
      <i/>
      <sz val="9"/>
      <color rgb="FF888888"/>
      <name val="Arial"/>
      <charset val="1"/>
    </font>
    <font>
      <b/>
      <sz val="10"/>
      <color rgb="FF2F5496"/>
      <name val="Arial"/>
      <charset val="1"/>
    </font>
    <font>
      <sz val="10"/>
      <color rgb="FF1F1F1F"/>
      <name val="Arial"/>
      <charset val="1"/>
    </font>
    <font>
      <b/>
      <sz val="12"/>
      <color rgb="FF1F3864"/>
      <name val="Arial"/>
      <charset val="1"/>
    </font>
    <font>
      <b/>
      <sz val="11"/>
      <color rgb="FFFFFFFF"/>
      <name val="Arial"/>
      <charset val="1"/>
    </font>
    <font>
      <b/>
      <sz val="10"/>
      <color rgb="FF1F1F1F"/>
      <name val="Arial"/>
      <charset val="1"/>
    </font>
    <font>
      <b/>
      <sz val="18"/>
      <color rgb="FFFFFFFF"/>
      <name val="Arial"/>
      <charset val="1"/>
    </font>
    <font>
      <i/>
      <sz val="10"/>
      <color rgb="FF888888"/>
      <name val="Arial"/>
      <charset val="1"/>
    </font>
    <font>
      <b/>
      <sz val="22"/>
      <color rgb="FF2F5496"/>
      <name val="Arial"/>
      <charset val="1"/>
    </font>
    <font>
      <b/>
      <sz val="22"/>
      <color rgb="FF2E75B6"/>
      <name val="Arial"/>
      <charset val="1"/>
    </font>
    <font>
      <b/>
      <sz val="22"/>
      <color rgb="FF375623"/>
      <name val="Arial"/>
      <charset val="1"/>
    </font>
    <font>
      <b/>
      <sz val="22"/>
      <color rgb="FF1F3864"/>
      <name val="Arial"/>
      <charset val="1"/>
    </font>
    <font>
      <b/>
      <sz val="22"/>
      <color rgb="FFC9A000"/>
      <name val="Arial"/>
      <charset val="1"/>
    </font>
    <font>
      <b/>
      <sz val="22"/>
      <color rgb="FF2D6A4F"/>
      <name val="Arial"/>
      <charset val="1"/>
    </font>
    <font>
      <b/>
      <sz val="22"/>
      <color rgb="FFC00000"/>
      <name val="Arial"/>
      <charset val="1"/>
    </font>
    <font>
      <b/>
      <sz val="12"/>
      <color rgb="FFFFFFFF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2F5496"/>
      </patternFill>
    </fill>
    <fill>
      <patternFill patternType="solid">
        <fgColor rgb="FF2E75B6"/>
        <bgColor rgb="FF4F81BD"/>
      </patternFill>
    </fill>
    <fill>
      <patternFill patternType="solid">
        <fgColor rgb="FFEBF3FB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F7F7F7"/>
        <bgColor rgb="FFF9F9F9"/>
      </patternFill>
    </fill>
    <fill>
      <patternFill patternType="solid">
        <fgColor rgb="FF2F5496"/>
        <bgColor rgb="FF2E75B6"/>
      </patternFill>
    </fill>
    <fill>
      <patternFill patternType="solid">
        <fgColor rgb="FFF5F5F5"/>
        <bgColor rgb="FFF7F7F7"/>
      </patternFill>
    </fill>
    <fill>
      <patternFill patternType="solid">
        <fgColor rgb="FF375623"/>
        <bgColor rgb="FF2D6A4F"/>
      </patternFill>
    </fill>
    <fill>
      <patternFill patternType="solid">
        <fgColor rgb="FFF2F2F2"/>
        <bgColor rgb="FFF5F5F5"/>
      </patternFill>
    </fill>
    <fill>
      <patternFill patternType="solid">
        <fgColor rgb="FFC9A000"/>
        <bgColor rgb="FFED7D31"/>
      </patternFill>
    </fill>
    <fill>
      <patternFill patternType="solid">
        <fgColor rgb="FF2D6A4F"/>
        <bgColor rgb="FF375623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medium">
        <color rgb="FF1F3864"/>
      </top>
      <bottom/>
      <diagonal/>
    </border>
    <border>
      <left style="medium">
        <color rgb="FF1F38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66" fontId="4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center" vertical="center" wrapText="1"/>
    </xf>
    <xf numFmtId="165" fontId="11" fillId="4" borderId="1" xfId="0" applyNumberFormat="1" applyFont="1" applyFill="1" applyBorder="1" applyAlignment="1">
      <alignment horizontal="center" vertical="center" wrapText="1"/>
    </xf>
    <xf numFmtId="166" fontId="11" fillId="4" borderId="1" xfId="0" applyNumberFormat="1" applyFont="1" applyFill="1" applyBorder="1" applyAlignment="1">
      <alignment horizontal="center" vertical="center" wrapText="1"/>
    </xf>
    <xf numFmtId="164" fontId="11" fillId="4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5" borderId="1" xfId="0" applyFont="1" applyFill="1" applyBorder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horizontal="center" vertical="center" wrapText="1"/>
    </xf>
    <xf numFmtId="164" fontId="11" fillId="5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6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164" fontId="0" fillId="4" borderId="1" xfId="0" applyNumberForma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0" fillId="10" borderId="0" xfId="0" applyFill="1"/>
    <xf numFmtId="0" fontId="4" fillId="14" borderId="1" xfId="0" applyFont="1" applyFill="1" applyBorder="1" applyAlignment="1">
      <alignment horizontal="center" vertical="center" wrapText="1"/>
    </xf>
    <xf numFmtId="165" fontId="11" fillId="14" borderId="1" xfId="0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9" fillId="6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7" borderId="2" xfId="0" applyFont="1" applyFill="1" applyBorder="1" applyAlignment="1">
      <alignment horizontal="center" vertical="center" wrapText="1"/>
    </xf>
    <xf numFmtId="0" fontId="0" fillId="0" borderId="4" xfId="0" applyBorder="1"/>
    <xf numFmtId="165" fontId="20" fillId="10" borderId="3" xfId="0" applyNumberFormat="1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15" fillId="2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166" fontId="22" fillId="10" borderId="3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23" fillId="10" borderId="3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2" borderId="0" xfId="0" applyFill="1"/>
    <xf numFmtId="0" fontId="16" fillId="8" borderId="0" xfId="0" applyFont="1" applyFill="1" applyAlignment="1">
      <alignment horizontal="center" vertical="center" wrapText="1"/>
    </xf>
    <xf numFmtId="165" fontId="17" fillId="10" borderId="3" xfId="0" applyNumberFormat="1" applyFont="1" applyFill="1" applyBorder="1" applyAlignment="1">
      <alignment horizontal="center" vertical="center" wrapText="1"/>
    </xf>
    <xf numFmtId="164" fontId="18" fillId="10" borderId="3" xfId="0" applyNumberFormat="1" applyFont="1" applyFill="1" applyBorder="1" applyAlignment="1">
      <alignment horizontal="center" vertical="center" wrapText="1"/>
    </xf>
    <xf numFmtId="0" fontId="24" fillId="7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165" fontId="19" fillId="10" borderId="3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D6A4F"/>
      <rgbColor rgb="FFBFBFBF"/>
      <rgbColor rgb="FF878787"/>
      <rgbColor rgb="FFAAAAAA"/>
      <rgbColor rgb="FF993366"/>
      <rgbColor rgb="FFF9F9F9"/>
      <rgbColor rgb="FFEBF3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5F5F5"/>
      <rgbColor rgb="FFF7F7F7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C9A000"/>
      <rgbColor rgb="FFED7D31"/>
      <rgbColor rgb="FF4F81BD"/>
      <rgbColor rgb="FF888888"/>
      <rgbColor rgb="FF1F3864"/>
      <rgbColor rgb="FF339966"/>
      <rgbColor rgb="FF003300"/>
      <rgbColor rgb="FF375623"/>
      <rgbColor rgb="FF993300"/>
      <rgbColor rgb="FF993366"/>
      <rgbColor rgb="FF2F5496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Total Compensation Cost by Department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'Department Summary'!$G$3</c:f>
              <c:strCache>
                <c:ptCount val="1"/>
                <c:pt idx="0">
                  <c:v>Total Comp Cost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'Department Summary'!$A$4:$A$11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Finance</c:v>
                </c:pt>
                <c:pt idx="4">
                  <c:v>HR</c:v>
                </c:pt>
                <c:pt idx="5">
                  <c:v>Operations</c:v>
                </c:pt>
                <c:pt idx="6">
                  <c:v>Product</c:v>
                </c:pt>
                <c:pt idx="7">
                  <c:v>Legal</c:v>
                </c:pt>
              </c:strCache>
            </c:strRef>
          </c:cat>
          <c:val>
            <c:numRef>
              <c:f>'Department Summary'!$G$4:$G$11</c:f>
              <c:numCache>
                <c:formatCode>\$#,##0</c:formatCode>
                <c:ptCount val="8"/>
                <c:pt idx="0">
                  <c:v>748392</c:v>
                </c:pt>
                <c:pt idx="1">
                  <c:v>843962</c:v>
                </c:pt>
                <c:pt idx="2">
                  <c:v>901130</c:v>
                </c:pt>
                <c:pt idx="3">
                  <c:v>1552638</c:v>
                </c:pt>
                <c:pt idx="4">
                  <c:v>545646</c:v>
                </c:pt>
                <c:pt idx="5">
                  <c:v>676158</c:v>
                </c:pt>
                <c:pt idx="6">
                  <c:v>1028202</c:v>
                </c:pt>
                <c:pt idx="7">
                  <c:v>614178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2E-4CFC-B0A0-DC12121334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297920"/>
        <c:axId val="63066550"/>
      </c:barChart>
      <c:catAx>
        <c:axId val="792979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Department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066550"/>
        <c:crosses val="autoZero"/>
        <c:auto val="1"/>
        <c:lblAlgn val="ctr"/>
        <c:lblOffset val="100"/>
        <c:noMultiLvlLbl val="0"/>
      </c:catAx>
      <c:valAx>
        <c:axId val="63066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Total Cost ($)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297920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KPI Score by Department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'Department Summary'!$H$3</c:f>
              <c:strCache>
                <c:ptCount val="1"/>
                <c:pt idx="0">
                  <c:v>Avg KPI Score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'Department Summary'!$A$4:$A$11</c:f>
              <c:strCache>
                <c:ptCount val="8"/>
                <c:pt idx="0">
                  <c:v>Engineering</c:v>
                </c:pt>
                <c:pt idx="1">
                  <c:v>Marketing</c:v>
                </c:pt>
                <c:pt idx="2">
                  <c:v>Sales</c:v>
                </c:pt>
                <c:pt idx="3">
                  <c:v>Finance</c:v>
                </c:pt>
                <c:pt idx="4">
                  <c:v>HR</c:v>
                </c:pt>
                <c:pt idx="5">
                  <c:v>Operations</c:v>
                </c:pt>
                <c:pt idx="6">
                  <c:v>Product</c:v>
                </c:pt>
                <c:pt idx="7">
                  <c:v>Legal</c:v>
                </c:pt>
              </c:strCache>
            </c:strRef>
          </c:cat>
          <c:val>
            <c:numRef>
              <c:f>'Department Summary'!$H$4:$H$11</c:f>
              <c:numCache>
                <c:formatCode>0.0</c:formatCode>
                <c:ptCount val="8"/>
                <c:pt idx="0">
                  <c:v>73.86666666666666</c:v>
                </c:pt>
                <c:pt idx="1">
                  <c:v>79.25</c:v>
                </c:pt>
                <c:pt idx="2">
                  <c:v>64.919999999999987</c:v>
                </c:pt>
                <c:pt idx="3">
                  <c:v>70.699999999999989</c:v>
                </c:pt>
                <c:pt idx="4">
                  <c:v>72.72</c:v>
                </c:pt>
                <c:pt idx="5">
                  <c:v>87.716666666666683</c:v>
                </c:pt>
                <c:pt idx="6">
                  <c:v>75.149999999999991</c:v>
                </c:pt>
                <c:pt idx="7">
                  <c:v>84.025000000000006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E1-48A7-9C43-3A6418AD9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285497"/>
        <c:axId val="51020743"/>
      </c:barChart>
      <c:catAx>
        <c:axId val="99285497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020743"/>
        <c:crosses val="autoZero"/>
        <c:auto val="1"/>
        <c:lblAlgn val="ctr"/>
        <c:lblOffset val="100"/>
        <c:noMultiLvlLbl val="0"/>
      </c:catAx>
      <c:valAx>
        <c:axId val="510207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KPI Score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285497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139080</xdr:rowOff>
    </xdr:from>
    <xdr:to>
      <xdr:col>6</xdr:col>
      <xdr:colOff>447480</xdr:colOff>
      <xdr:row>41</xdr:row>
      <xdr:rowOff>49860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457200</xdr:colOff>
      <xdr:row>14</xdr:row>
      <xdr:rowOff>116220</xdr:rowOff>
    </xdr:from>
    <xdr:to>
      <xdr:col>15</xdr:col>
      <xdr:colOff>261000</xdr:colOff>
      <xdr:row>41</xdr:row>
      <xdr:rowOff>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E75B6"/>
  </sheetPr>
  <dimension ref="A1:R53"/>
  <sheetViews>
    <sheetView showGridLines="0" zoomScale="83" zoomScaleNormal="83" workbookViewId="0">
      <pane ySplit="3" topLeftCell="A5" activePane="bottomLeft" state="frozen"/>
      <selection pane="bottomLeft" activeCell="U9" sqref="U9"/>
    </sheetView>
  </sheetViews>
  <sheetFormatPr defaultColWidth="8.6640625" defaultRowHeight="14.4" x14ac:dyDescent="0.3"/>
  <cols>
    <col min="1" max="1" width="9" customWidth="1"/>
    <col min="2" max="2" width="20" customWidth="1"/>
    <col min="3" max="3" width="14" customWidth="1"/>
    <col min="4" max="4" width="22" customWidth="1"/>
    <col min="5" max="5" width="10" customWidth="1"/>
    <col min="6" max="6" width="12" customWidth="1"/>
    <col min="7" max="7" width="10" customWidth="1"/>
    <col min="8" max="8" width="14" customWidth="1"/>
    <col min="9" max="9" width="9" customWidth="1"/>
    <col min="10" max="11" width="14" customWidth="1"/>
    <col min="12" max="12" width="16" customWidth="1"/>
    <col min="13" max="13" width="10" customWidth="1"/>
    <col min="14" max="15" width="12" customWidth="1"/>
    <col min="16" max="16" width="16" customWidth="1"/>
    <col min="17" max="17" width="18" customWidth="1"/>
    <col min="18" max="18" width="10" customWidth="1"/>
  </cols>
  <sheetData>
    <row r="1" spans="1:18" ht="36" customHeight="1" x14ac:dyDescent="0.3">
      <c r="A1" s="49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</row>
    <row r="2" spans="1:18" ht="18" customHeight="1" x14ac:dyDescent="0.3">
      <c r="A2" s="48" t="s">
        <v>23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</row>
    <row r="3" spans="1:18" ht="39.75" customHeight="1" x14ac:dyDescent="0.3">
      <c r="A3" s="1" t="s">
        <v>24</v>
      </c>
      <c r="B3" s="1" t="s">
        <v>25</v>
      </c>
      <c r="C3" s="1" t="s">
        <v>2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 t="s">
        <v>35</v>
      </c>
      <c r="N3" s="1" t="s">
        <v>36</v>
      </c>
      <c r="O3" s="1" t="s">
        <v>37</v>
      </c>
      <c r="P3" s="1" t="s">
        <v>38</v>
      </c>
      <c r="Q3" s="1" t="s">
        <v>39</v>
      </c>
      <c r="R3" s="1" t="s">
        <v>40</v>
      </c>
    </row>
    <row r="4" spans="1:18" ht="15" customHeight="1" x14ac:dyDescent="0.3">
      <c r="A4" s="2" t="s">
        <v>41</v>
      </c>
      <c r="B4" s="3" t="s">
        <v>42</v>
      </c>
      <c r="C4" s="2" t="s">
        <v>13</v>
      </c>
      <c r="D4" s="2" t="s">
        <v>43</v>
      </c>
      <c r="E4" s="2" t="s">
        <v>44</v>
      </c>
      <c r="F4" s="2" t="s">
        <v>45</v>
      </c>
      <c r="G4" s="2">
        <v>4</v>
      </c>
      <c r="H4" s="4">
        <v>47800</v>
      </c>
      <c r="I4" s="5">
        <f t="shared" ref="I4:I35" si="0">IF(L4="Outstanding",0.2,IF(L4="Exceeds",0.15,IF(L4="Meets",0.08,IF(L4="Below",0.02,0))))</f>
        <v>0.2</v>
      </c>
      <c r="J4" s="4">
        <f t="shared" ref="J4:J35" si="1">H4*I4</f>
        <v>9560</v>
      </c>
      <c r="K4" s="4">
        <f t="shared" ref="K4:K35" si="2">H4+J4</f>
        <v>57360</v>
      </c>
      <c r="L4" s="2" t="s">
        <v>46</v>
      </c>
      <c r="M4" s="2">
        <v>88.3</v>
      </c>
      <c r="N4" s="5">
        <v>0.90900000000000003</v>
      </c>
      <c r="O4" s="2">
        <v>54</v>
      </c>
      <c r="P4" s="2" t="str">
        <f t="shared" ref="P4:P35" si="3">IF(AND(G4&gt;=2,M4&gt;=80,L4&lt;&gt;"Below"),"Yes","No")</f>
        <v>Yes</v>
      </c>
      <c r="Q4" s="2" t="str">
        <f t="shared" ref="Q4:Q10" si="4">IF(H4&lt;65000,"Band 1 (Junior)",IF(H4&lt;90000,"Band 2 (Mid)",IF(H4&lt;130000,"Band 3 (Senior)",IF(H4&lt;170000,"Band 4 (Lead/Mgr)","Band 5 (Director)"))))</f>
        <v>Band 1 (Junior)</v>
      </c>
      <c r="R4" s="6" t="s">
        <v>47</v>
      </c>
    </row>
    <row r="5" spans="1:18" ht="15" customHeight="1" x14ac:dyDescent="0.3">
      <c r="A5" s="7" t="s">
        <v>48</v>
      </c>
      <c r="B5" s="8" t="s">
        <v>49</v>
      </c>
      <c r="C5" s="7" t="s">
        <v>12</v>
      </c>
      <c r="D5" s="7" t="s">
        <v>50</v>
      </c>
      <c r="E5" s="7" t="s">
        <v>44</v>
      </c>
      <c r="F5" s="7" t="s">
        <v>51</v>
      </c>
      <c r="G5" s="7">
        <v>18</v>
      </c>
      <c r="H5" s="9">
        <v>57000</v>
      </c>
      <c r="I5" s="10">
        <f t="shared" si="0"/>
        <v>0.02</v>
      </c>
      <c r="J5" s="9">
        <f t="shared" si="1"/>
        <v>1140</v>
      </c>
      <c r="K5" s="9">
        <f t="shared" si="2"/>
        <v>58140</v>
      </c>
      <c r="L5" s="7" t="s">
        <v>52</v>
      </c>
      <c r="M5" s="7">
        <v>87.2</v>
      </c>
      <c r="N5" s="10">
        <v>0.94</v>
      </c>
      <c r="O5" s="7">
        <v>28</v>
      </c>
      <c r="P5" s="7" t="str">
        <f t="shared" si="3"/>
        <v>No</v>
      </c>
      <c r="Q5" s="7" t="str">
        <f t="shared" si="4"/>
        <v>Band 1 (Junior)</v>
      </c>
      <c r="R5" s="11" t="s">
        <v>47</v>
      </c>
    </row>
    <row r="6" spans="1:18" ht="15" customHeight="1" x14ac:dyDescent="0.3">
      <c r="A6" s="2" t="s">
        <v>53</v>
      </c>
      <c r="B6" s="3" t="s">
        <v>54</v>
      </c>
      <c r="C6" s="2" t="s">
        <v>16</v>
      </c>
      <c r="D6" s="2" t="s">
        <v>55</v>
      </c>
      <c r="E6" s="2" t="s">
        <v>44</v>
      </c>
      <c r="F6" s="2" t="s">
        <v>56</v>
      </c>
      <c r="G6" s="2">
        <v>7</v>
      </c>
      <c r="H6" s="4">
        <v>50600</v>
      </c>
      <c r="I6" s="5">
        <f t="shared" si="0"/>
        <v>0.08</v>
      </c>
      <c r="J6" s="4">
        <f t="shared" si="1"/>
        <v>4048</v>
      </c>
      <c r="K6" s="4">
        <f t="shared" si="2"/>
        <v>54648</v>
      </c>
      <c r="L6" s="2" t="s">
        <v>57</v>
      </c>
      <c r="M6" s="2">
        <v>59.6</v>
      </c>
      <c r="N6" s="5">
        <v>0.876</v>
      </c>
      <c r="O6" s="2">
        <v>44</v>
      </c>
      <c r="P6" s="2" t="str">
        <f t="shared" si="3"/>
        <v>No</v>
      </c>
      <c r="Q6" s="2" t="str">
        <f t="shared" si="4"/>
        <v>Band 1 (Junior)</v>
      </c>
      <c r="R6" s="6" t="s">
        <v>47</v>
      </c>
    </row>
    <row r="7" spans="1:18" ht="15" customHeight="1" x14ac:dyDescent="0.3">
      <c r="A7" s="7" t="s">
        <v>58</v>
      </c>
      <c r="B7" s="8" t="s">
        <v>59</v>
      </c>
      <c r="C7" s="7" t="s">
        <v>16</v>
      </c>
      <c r="D7" s="7" t="s">
        <v>60</v>
      </c>
      <c r="E7" s="7" t="s">
        <v>44</v>
      </c>
      <c r="F7" s="7" t="s">
        <v>61</v>
      </c>
      <c r="G7" s="7">
        <v>13</v>
      </c>
      <c r="H7" s="9">
        <v>64500</v>
      </c>
      <c r="I7" s="10">
        <f t="shared" si="0"/>
        <v>0.2</v>
      </c>
      <c r="J7" s="9">
        <f t="shared" si="1"/>
        <v>12900</v>
      </c>
      <c r="K7" s="9">
        <f t="shared" si="2"/>
        <v>77400</v>
      </c>
      <c r="L7" s="7" t="s">
        <v>46</v>
      </c>
      <c r="M7" s="7">
        <v>79.8</v>
      </c>
      <c r="N7" s="10">
        <v>0.96599999999999997</v>
      </c>
      <c r="O7" s="7">
        <v>46</v>
      </c>
      <c r="P7" s="7" t="str">
        <f t="shared" si="3"/>
        <v>No</v>
      </c>
      <c r="Q7" s="7" t="str">
        <f t="shared" si="4"/>
        <v>Band 1 (Junior)</v>
      </c>
      <c r="R7" s="11" t="s">
        <v>47</v>
      </c>
    </row>
    <row r="8" spans="1:18" ht="15" customHeight="1" x14ac:dyDescent="0.3">
      <c r="A8" s="2" t="s">
        <v>62</v>
      </c>
      <c r="B8" s="3" t="s">
        <v>63</v>
      </c>
      <c r="C8" s="2" t="s">
        <v>15</v>
      </c>
      <c r="D8" s="2" t="s">
        <v>64</v>
      </c>
      <c r="E8" s="2" t="s">
        <v>65</v>
      </c>
      <c r="F8" s="2" t="s">
        <v>66</v>
      </c>
      <c r="G8" s="2">
        <v>3</v>
      </c>
      <c r="H8" s="4">
        <v>204100</v>
      </c>
      <c r="I8" s="5">
        <f t="shared" si="0"/>
        <v>0.02</v>
      </c>
      <c r="J8" s="4">
        <f t="shared" si="1"/>
        <v>4082</v>
      </c>
      <c r="K8" s="4">
        <f t="shared" si="2"/>
        <v>208182</v>
      </c>
      <c r="L8" s="2" t="s">
        <v>52</v>
      </c>
      <c r="M8" s="2">
        <v>94</v>
      </c>
      <c r="N8" s="5">
        <v>0.876</v>
      </c>
      <c r="O8" s="2">
        <v>46</v>
      </c>
      <c r="P8" s="2" t="str">
        <f t="shared" si="3"/>
        <v>No</v>
      </c>
      <c r="Q8" s="2" t="str">
        <f t="shared" si="4"/>
        <v>Band 5 (Director)</v>
      </c>
      <c r="R8" s="6" t="s">
        <v>47</v>
      </c>
    </row>
    <row r="9" spans="1:18" ht="15" customHeight="1" x14ac:dyDescent="0.3">
      <c r="A9" s="7" t="s">
        <v>67</v>
      </c>
      <c r="B9" s="8" t="s">
        <v>68</v>
      </c>
      <c r="C9" s="7" t="s">
        <v>17</v>
      </c>
      <c r="D9" s="7" t="s">
        <v>69</v>
      </c>
      <c r="E9" s="7" t="s">
        <v>70</v>
      </c>
      <c r="F9" s="7" t="s">
        <v>71</v>
      </c>
      <c r="G9" s="7">
        <v>6</v>
      </c>
      <c r="H9" s="9">
        <v>114400</v>
      </c>
      <c r="I9" s="10">
        <f t="shared" si="0"/>
        <v>0.02</v>
      </c>
      <c r="J9" s="9">
        <f t="shared" si="1"/>
        <v>2288</v>
      </c>
      <c r="K9" s="9">
        <f t="shared" si="2"/>
        <v>116688</v>
      </c>
      <c r="L9" s="7" t="s">
        <v>52</v>
      </c>
      <c r="M9" s="7">
        <v>87.8</v>
      </c>
      <c r="N9" s="10">
        <v>0.83299999999999996</v>
      </c>
      <c r="O9" s="7">
        <v>34</v>
      </c>
      <c r="P9" s="7" t="str">
        <f t="shared" si="3"/>
        <v>No</v>
      </c>
      <c r="Q9" s="7" t="str">
        <f t="shared" si="4"/>
        <v>Band 3 (Senior)</v>
      </c>
      <c r="R9" s="12" t="s">
        <v>72</v>
      </c>
    </row>
    <row r="10" spans="1:18" ht="15" customHeight="1" x14ac:dyDescent="0.3">
      <c r="A10" s="2" t="s">
        <v>73</v>
      </c>
      <c r="B10" s="3" t="s">
        <v>63</v>
      </c>
      <c r="C10" s="2" t="s">
        <v>15</v>
      </c>
      <c r="D10" s="2" t="s">
        <v>74</v>
      </c>
      <c r="E10" s="2" t="s">
        <v>65</v>
      </c>
      <c r="F10" s="2" t="s">
        <v>75</v>
      </c>
      <c r="G10" s="2">
        <v>11</v>
      </c>
      <c r="H10" s="4">
        <v>207500</v>
      </c>
      <c r="I10" s="5">
        <f t="shared" si="0"/>
        <v>0.2</v>
      </c>
      <c r="J10" s="4">
        <f t="shared" si="1"/>
        <v>41500</v>
      </c>
      <c r="K10" s="4">
        <f t="shared" si="2"/>
        <v>249000</v>
      </c>
      <c r="L10" s="2" t="s">
        <v>46</v>
      </c>
      <c r="M10" s="2">
        <v>67</v>
      </c>
      <c r="N10" s="5">
        <v>0.84199999999999997</v>
      </c>
      <c r="O10" s="2">
        <v>40</v>
      </c>
      <c r="P10" s="2" t="str">
        <f t="shared" si="3"/>
        <v>No</v>
      </c>
      <c r="Q10" s="2" t="str">
        <f t="shared" si="4"/>
        <v>Band 5 (Director)</v>
      </c>
      <c r="R10" s="6" t="s">
        <v>47</v>
      </c>
    </row>
    <row r="11" spans="1:18" ht="15" customHeight="1" x14ac:dyDescent="0.3">
      <c r="A11" s="7" t="s">
        <v>76</v>
      </c>
      <c r="B11" s="8" t="s">
        <v>77</v>
      </c>
      <c r="C11" s="7" t="s">
        <v>19</v>
      </c>
      <c r="D11" s="7" t="s">
        <v>78</v>
      </c>
      <c r="E11" s="7" t="s">
        <v>79</v>
      </c>
      <c r="F11" s="7" t="s">
        <v>80</v>
      </c>
      <c r="G11" s="7">
        <v>18</v>
      </c>
      <c r="H11" s="9">
        <v>115600</v>
      </c>
      <c r="I11" s="10">
        <f t="shared" si="0"/>
        <v>0.2</v>
      </c>
      <c r="J11" s="9">
        <f t="shared" si="1"/>
        <v>23120</v>
      </c>
      <c r="K11" s="9">
        <f t="shared" si="2"/>
        <v>138720</v>
      </c>
      <c r="L11" s="7" t="s">
        <v>46</v>
      </c>
      <c r="M11" s="7">
        <v>66.8</v>
      </c>
      <c r="N11" s="10">
        <v>0.91700000000000004</v>
      </c>
      <c r="O11" s="7">
        <v>51</v>
      </c>
      <c r="P11" s="7" t="str">
        <f t="shared" si="3"/>
        <v>No</v>
      </c>
      <c r="Q11" s="43" t="s">
        <v>81</v>
      </c>
      <c r="R11" s="11" t="s">
        <v>47</v>
      </c>
    </row>
    <row r="12" spans="1:18" ht="15" customHeight="1" x14ac:dyDescent="0.3">
      <c r="A12" s="2" t="s">
        <v>82</v>
      </c>
      <c r="B12" s="3" t="s">
        <v>83</v>
      </c>
      <c r="C12" s="2" t="s">
        <v>15</v>
      </c>
      <c r="D12" s="2" t="s">
        <v>84</v>
      </c>
      <c r="E12" s="2" t="s">
        <v>85</v>
      </c>
      <c r="F12" s="2" t="s">
        <v>86</v>
      </c>
      <c r="G12" s="2">
        <v>5</v>
      </c>
      <c r="H12" s="4">
        <v>86500</v>
      </c>
      <c r="I12" s="5">
        <f t="shared" si="0"/>
        <v>0.2</v>
      </c>
      <c r="J12" s="4">
        <f t="shared" si="1"/>
        <v>17300</v>
      </c>
      <c r="K12" s="4">
        <f t="shared" si="2"/>
        <v>103800</v>
      </c>
      <c r="L12" s="2" t="s">
        <v>46</v>
      </c>
      <c r="M12" s="2">
        <v>62.2</v>
      </c>
      <c r="N12" s="5">
        <v>0.93600000000000005</v>
      </c>
      <c r="O12" s="2">
        <v>8</v>
      </c>
      <c r="P12" s="2" t="str">
        <f t="shared" si="3"/>
        <v>No</v>
      </c>
      <c r="Q12" s="2" t="str">
        <f t="shared" ref="Q12:Q17" si="5">IF(H12&lt;65000,"Band 1 (Junior)",IF(H12&lt;90000,"Band 2 (Mid)",IF(H12&lt;130000,"Band 3 (Senior)",IF(H12&lt;170000,"Band 4 (Lead/Mgr)","Band 5 (Director)"))))</f>
        <v>Band 2 (Mid)</v>
      </c>
      <c r="R12" s="6" t="s">
        <v>47</v>
      </c>
    </row>
    <row r="13" spans="1:18" ht="15" customHeight="1" x14ac:dyDescent="0.3">
      <c r="A13" s="7" t="s">
        <v>87</v>
      </c>
      <c r="B13" s="8" t="s">
        <v>88</v>
      </c>
      <c r="C13" s="7" t="s">
        <v>18</v>
      </c>
      <c r="D13" s="7" t="s">
        <v>89</v>
      </c>
      <c r="E13" s="7" t="s">
        <v>90</v>
      </c>
      <c r="F13" s="7" t="s">
        <v>91</v>
      </c>
      <c r="G13" s="7">
        <v>1</v>
      </c>
      <c r="H13" s="9">
        <v>168600</v>
      </c>
      <c r="I13" s="10">
        <f t="shared" si="0"/>
        <v>0.2</v>
      </c>
      <c r="J13" s="9">
        <f t="shared" si="1"/>
        <v>33720</v>
      </c>
      <c r="K13" s="9">
        <f t="shared" si="2"/>
        <v>202320</v>
      </c>
      <c r="L13" s="7" t="s">
        <v>46</v>
      </c>
      <c r="M13" s="7">
        <v>87.4</v>
      </c>
      <c r="N13" s="10">
        <v>0.93600000000000005</v>
      </c>
      <c r="O13" s="7">
        <v>34</v>
      </c>
      <c r="P13" s="7" t="str">
        <f t="shared" si="3"/>
        <v>No</v>
      </c>
      <c r="Q13" s="7" t="str">
        <f t="shared" si="5"/>
        <v>Band 4 (Lead/Mgr)</v>
      </c>
      <c r="R13" s="13" t="s">
        <v>92</v>
      </c>
    </row>
    <row r="14" spans="1:18" ht="15" customHeight="1" x14ac:dyDescent="0.3">
      <c r="A14" s="2" t="s">
        <v>93</v>
      </c>
      <c r="B14" s="3" t="s">
        <v>94</v>
      </c>
      <c r="C14" s="2" t="s">
        <v>17</v>
      </c>
      <c r="D14" s="2" t="s">
        <v>95</v>
      </c>
      <c r="E14" s="2" t="s">
        <v>44</v>
      </c>
      <c r="F14" s="2" t="s">
        <v>96</v>
      </c>
      <c r="G14" s="2">
        <v>9</v>
      </c>
      <c r="H14" s="4">
        <v>54100</v>
      </c>
      <c r="I14" s="5">
        <f t="shared" si="0"/>
        <v>0.15</v>
      </c>
      <c r="J14" s="4">
        <f t="shared" si="1"/>
        <v>8115</v>
      </c>
      <c r="K14" s="4">
        <f t="shared" si="2"/>
        <v>62215</v>
      </c>
      <c r="L14" s="2" t="s">
        <v>97</v>
      </c>
      <c r="M14" s="2">
        <v>89.3</v>
      </c>
      <c r="N14" s="5">
        <v>0.90200000000000002</v>
      </c>
      <c r="O14" s="2">
        <v>80</v>
      </c>
      <c r="P14" s="2" t="str">
        <f t="shared" si="3"/>
        <v>Yes</v>
      </c>
      <c r="Q14" s="2" t="str">
        <f t="shared" si="5"/>
        <v>Band 1 (Junior)</v>
      </c>
      <c r="R14" s="6" t="s">
        <v>47</v>
      </c>
    </row>
    <row r="15" spans="1:18" ht="15" customHeight="1" x14ac:dyDescent="0.3">
      <c r="A15" s="7" t="s">
        <v>98</v>
      </c>
      <c r="B15" s="8" t="s">
        <v>99</v>
      </c>
      <c r="C15" s="7" t="s">
        <v>15</v>
      </c>
      <c r="D15" s="7" t="s">
        <v>74</v>
      </c>
      <c r="E15" s="7" t="s">
        <v>85</v>
      </c>
      <c r="F15" s="7" t="s">
        <v>100</v>
      </c>
      <c r="G15" s="7">
        <v>17</v>
      </c>
      <c r="H15" s="9">
        <v>88800</v>
      </c>
      <c r="I15" s="10">
        <f t="shared" si="0"/>
        <v>0.15</v>
      </c>
      <c r="J15" s="9">
        <f t="shared" si="1"/>
        <v>13320</v>
      </c>
      <c r="K15" s="9">
        <f t="shared" si="2"/>
        <v>102120</v>
      </c>
      <c r="L15" s="7" t="s">
        <v>97</v>
      </c>
      <c r="M15" s="7">
        <v>82</v>
      </c>
      <c r="N15" s="10">
        <v>0.89800000000000002</v>
      </c>
      <c r="O15" s="7">
        <v>46</v>
      </c>
      <c r="P15" s="7" t="str">
        <f t="shared" si="3"/>
        <v>Yes</v>
      </c>
      <c r="Q15" s="7" t="str">
        <f t="shared" si="5"/>
        <v>Band 2 (Mid)</v>
      </c>
      <c r="R15" s="13" t="s">
        <v>92</v>
      </c>
    </row>
    <row r="16" spans="1:18" ht="15" customHeight="1" x14ac:dyDescent="0.3">
      <c r="A16" s="2" t="s">
        <v>101</v>
      </c>
      <c r="B16" s="3" t="s">
        <v>102</v>
      </c>
      <c r="C16" s="2" t="s">
        <v>16</v>
      </c>
      <c r="D16" s="2" t="s">
        <v>103</v>
      </c>
      <c r="E16" s="2" t="s">
        <v>85</v>
      </c>
      <c r="F16" s="2" t="s">
        <v>104</v>
      </c>
      <c r="G16" s="2">
        <v>3</v>
      </c>
      <c r="H16" s="4">
        <v>88700</v>
      </c>
      <c r="I16" s="5">
        <f t="shared" si="0"/>
        <v>0.2</v>
      </c>
      <c r="J16" s="4">
        <f t="shared" si="1"/>
        <v>17740</v>
      </c>
      <c r="K16" s="4">
        <f t="shared" si="2"/>
        <v>106440</v>
      </c>
      <c r="L16" s="2" t="s">
        <v>46</v>
      </c>
      <c r="M16" s="2">
        <v>76.900000000000006</v>
      </c>
      <c r="N16" s="5">
        <v>0.81399999999999995</v>
      </c>
      <c r="O16" s="2">
        <v>16</v>
      </c>
      <c r="P16" s="2" t="str">
        <f t="shared" si="3"/>
        <v>No</v>
      </c>
      <c r="Q16" s="2" t="str">
        <f t="shared" si="5"/>
        <v>Band 2 (Mid)</v>
      </c>
      <c r="R16" s="6" t="s">
        <v>47</v>
      </c>
    </row>
    <row r="17" spans="1:18" ht="15" customHeight="1" x14ac:dyDescent="0.3">
      <c r="A17" s="7" t="s">
        <v>105</v>
      </c>
      <c r="B17" s="8" t="s">
        <v>106</v>
      </c>
      <c r="C17" s="7" t="s">
        <v>19</v>
      </c>
      <c r="D17" s="7" t="s">
        <v>107</v>
      </c>
      <c r="E17" s="7" t="s">
        <v>90</v>
      </c>
      <c r="F17" s="7" t="s">
        <v>108</v>
      </c>
      <c r="G17" s="7">
        <v>14</v>
      </c>
      <c r="H17" s="9">
        <v>163600</v>
      </c>
      <c r="I17" s="10">
        <f t="shared" si="0"/>
        <v>0.08</v>
      </c>
      <c r="J17" s="9">
        <f t="shared" si="1"/>
        <v>13088</v>
      </c>
      <c r="K17" s="9">
        <f t="shared" si="2"/>
        <v>176688</v>
      </c>
      <c r="L17" s="7" t="s">
        <v>57</v>
      </c>
      <c r="M17" s="7">
        <v>96.8</v>
      </c>
      <c r="N17" s="10">
        <v>0.95099999999999996</v>
      </c>
      <c r="O17" s="7">
        <v>39</v>
      </c>
      <c r="P17" s="7" t="str">
        <f t="shared" si="3"/>
        <v>Yes</v>
      </c>
      <c r="Q17" s="7" t="str">
        <f t="shared" si="5"/>
        <v>Band 4 (Lead/Mgr)</v>
      </c>
      <c r="R17" s="11" t="s">
        <v>47</v>
      </c>
    </row>
    <row r="18" spans="1:18" ht="15" customHeight="1" x14ac:dyDescent="0.3">
      <c r="A18" s="2" t="s">
        <v>109</v>
      </c>
      <c r="B18" s="3" t="s">
        <v>110</v>
      </c>
      <c r="C18" s="2" t="s">
        <v>17</v>
      </c>
      <c r="D18" s="2" t="s">
        <v>111</v>
      </c>
      <c r="E18" s="2" t="s">
        <v>79</v>
      </c>
      <c r="F18" s="2" t="s">
        <v>112</v>
      </c>
      <c r="G18" s="2">
        <v>11</v>
      </c>
      <c r="H18" s="4">
        <v>119000</v>
      </c>
      <c r="I18" s="5">
        <f t="shared" si="0"/>
        <v>0.08</v>
      </c>
      <c r="J18" s="4">
        <f t="shared" si="1"/>
        <v>9520</v>
      </c>
      <c r="K18" s="4">
        <f t="shared" si="2"/>
        <v>128520</v>
      </c>
      <c r="L18" s="2" t="s">
        <v>57</v>
      </c>
      <c r="M18" s="2">
        <v>81.5</v>
      </c>
      <c r="N18" s="5">
        <v>0.84599999999999997</v>
      </c>
      <c r="O18" s="2">
        <v>0</v>
      </c>
      <c r="P18" s="2" t="str">
        <f t="shared" si="3"/>
        <v>Yes</v>
      </c>
      <c r="Q18" s="43" t="s">
        <v>81</v>
      </c>
      <c r="R18" s="6" t="s">
        <v>47</v>
      </c>
    </row>
    <row r="19" spans="1:18" ht="15" customHeight="1" x14ac:dyDescent="0.3">
      <c r="A19" s="7" t="s">
        <v>113</v>
      </c>
      <c r="B19" s="8" t="s">
        <v>114</v>
      </c>
      <c r="C19" s="7" t="s">
        <v>12</v>
      </c>
      <c r="D19" s="7" t="s">
        <v>115</v>
      </c>
      <c r="E19" s="7" t="s">
        <v>85</v>
      </c>
      <c r="F19" s="7" t="s">
        <v>116</v>
      </c>
      <c r="G19" s="7">
        <v>8</v>
      </c>
      <c r="H19" s="9">
        <v>66800</v>
      </c>
      <c r="I19" s="10">
        <f t="shared" si="0"/>
        <v>0.08</v>
      </c>
      <c r="J19" s="9">
        <f t="shared" si="1"/>
        <v>5344</v>
      </c>
      <c r="K19" s="9">
        <f t="shared" si="2"/>
        <v>72144</v>
      </c>
      <c r="L19" s="7" t="s">
        <v>57</v>
      </c>
      <c r="M19" s="7">
        <v>85.1</v>
      </c>
      <c r="N19" s="10">
        <v>0.84299999999999997</v>
      </c>
      <c r="O19" s="7">
        <v>73</v>
      </c>
      <c r="P19" s="7" t="str">
        <f t="shared" si="3"/>
        <v>Yes</v>
      </c>
      <c r="Q19" s="7" t="str">
        <f t="shared" ref="Q19:Q31" si="6">IF(H19&lt;65000,"Band 1 (Junior)",IF(H19&lt;90000,"Band 2 (Mid)",IF(H19&lt;130000,"Band 3 (Senior)",IF(H19&lt;170000,"Band 4 (Lead/Mgr)","Band 5 (Director)"))))</f>
        <v>Band 2 (Mid)</v>
      </c>
      <c r="R19" s="11" t="s">
        <v>47</v>
      </c>
    </row>
    <row r="20" spans="1:18" ht="15" customHeight="1" x14ac:dyDescent="0.3">
      <c r="A20" s="2" t="s">
        <v>117</v>
      </c>
      <c r="B20" s="3" t="s">
        <v>118</v>
      </c>
      <c r="C20" s="2" t="s">
        <v>19</v>
      </c>
      <c r="D20" s="2" t="s">
        <v>78</v>
      </c>
      <c r="E20" s="2" t="s">
        <v>85</v>
      </c>
      <c r="F20" s="2" t="s">
        <v>119</v>
      </c>
      <c r="G20" s="2">
        <v>14</v>
      </c>
      <c r="H20" s="4">
        <v>67400</v>
      </c>
      <c r="I20" s="5">
        <f t="shared" si="0"/>
        <v>0.15</v>
      </c>
      <c r="J20" s="4">
        <f t="shared" si="1"/>
        <v>10110</v>
      </c>
      <c r="K20" s="4">
        <f t="shared" si="2"/>
        <v>77510</v>
      </c>
      <c r="L20" s="2" t="s">
        <v>97</v>
      </c>
      <c r="M20" s="2">
        <v>74.099999999999994</v>
      </c>
      <c r="N20" s="5">
        <v>0.89300000000000002</v>
      </c>
      <c r="O20" s="2">
        <v>12</v>
      </c>
      <c r="P20" s="2" t="str">
        <f t="shared" si="3"/>
        <v>No</v>
      </c>
      <c r="Q20" s="2" t="str">
        <f t="shared" si="6"/>
        <v>Band 2 (Mid)</v>
      </c>
      <c r="R20" s="6" t="s">
        <v>47</v>
      </c>
    </row>
    <row r="21" spans="1:18" ht="15" customHeight="1" x14ac:dyDescent="0.3">
      <c r="A21" s="7" t="s">
        <v>120</v>
      </c>
      <c r="B21" s="8" t="s">
        <v>110</v>
      </c>
      <c r="C21" s="7" t="s">
        <v>18</v>
      </c>
      <c r="D21" s="7" t="s">
        <v>121</v>
      </c>
      <c r="E21" s="7" t="s">
        <v>65</v>
      </c>
      <c r="F21" s="7" t="s">
        <v>122</v>
      </c>
      <c r="G21" s="7">
        <v>18</v>
      </c>
      <c r="H21" s="9">
        <v>163400</v>
      </c>
      <c r="I21" s="10">
        <f t="shared" si="0"/>
        <v>0.02</v>
      </c>
      <c r="J21" s="9">
        <f t="shared" si="1"/>
        <v>3268</v>
      </c>
      <c r="K21" s="9">
        <f t="shared" si="2"/>
        <v>166668</v>
      </c>
      <c r="L21" s="7" t="s">
        <v>52</v>
      </c>
      <c r="M21" s="7">
        <v>61.3</v>
      </c>
      <c r="N21" s="10">
        <v>0.83699999999999997</v>
      </c>
      <c r="O21" s="7">
        <v>31</v>
      </c>
      <c r="P21" s="7" t="str">
        <f t="shared" si="3"/>
        <v>No</v>
      </c>
      <c r="Q21" s="7" t="str">
        <f t="shared" si="6"/>
        <v>Band 4 (Lead/Mgr)</v>
      </c>
      <c r="R21" s="13" t="s">
        <v>92</v>
      </c>
    </row>
    <row r="22" spans="1:18" ht="15" customHeight="1" x14ac:dyDescent="0.3">
      <c r="A22" s="2" t="s">
        <v>123</v>
      </c>
      <c r="B22" s="3" t="s">
        <v>124</v>
      </c>
      <c r="C22" s="2" t="s">
        <v>13</v>
      </c>
      <c r="D22" s="2" t="s">
        <v>125</v>
      </c>
      <c r="E22" s="2" t="s">
        <v>79</v>
      </c>
      <c r="F22" s="2" t="s">
        <v>66</v>
      </c>
      <c r="G22" s="2">
        <v>3</v>
      </c>
      <c r="H22" s="4">
        <v>143400</v>
      </c>
      <c r="I22" s="5">
        <f t="shared" si="0"/>
        <v>0.08</v>
      </c>
      <c r="J22" s="4">
        <f t="shared" si="1"/>
        <v>11472</v>
      </c>
      <c r="K22" s="4">
        <f t="shared" si="2"/>
        <v>154872</v>
      </c>
      <c r="L22" s="2" t="s">
        <v>57</v>
      </c>
      <c r="M22" s="2">
        <v>62.5</v>
      </c>
      <c r="N22" s="5">
        <v>0.89700000000000002</v>
      </c>
      <c r="O22" s="2">
        <v>51</v>
      </c>
      <c r="P22" s="2" t="str">
        <f t="shared" si="3"/>
        <v>No</v>
      </c>
      <c r="Q22" s="2" t="str">
        <f t="shared" si="6"/>
        <v>Band 4 (Lead/Mgr)</v>
      </c>
      <c r="R22" s="6" t="s">
        <v>47</v>
      </c>
    </row>
    <row r="23" spans="1:18" ht="15" customHeight="1" x14ac:dyDescent="0.3">
      <c r="A23" s="7" t="s">
        <v>126</v>
      </c>
      <c r="B23" s="8" t="s">
        <v>127</v>
      </c>
      <c r="C23" s="7" t="s">
        <v>14</v>
      </c>
      <c r="D23" s="7" t="s">
        <v>128</v>
      </c>
      <c r="E23" s="7" t="s">
        <v>79</v>
      </c>
      <c r="F23" s="7" t="s">
        <v>129</v>
      </c>
      <c r="G23" s="7">
        <v>15</v>
      </c>
      <c r="H23" s="9">
        <v>147100</v>
      </c>
      <c r="I23" s="10">
        <f t="shared" si="0"/>
        <v>0.2</v>
      </c>
      <c r="J23" s="9">
        <f t="shared" si="1"/>
        <v>29420</v>
      </c>
      <c r="K23" s="9">
        <f t="shared" si="2"/>
        <v>176520</v>
      </c>
      <c r="L23" s="7" t="s">
        <v>46</v>
      </c>
      <c r="M23" s="7">
        <v>74</v>
      </c>
      <c r="N23" s="10">
        <v>0.99099999999999999</v>
      </c>
      <c r="O23" s="7">
        <v>62</v>
      </c>
      <c r="P23" s="7" t="str">
        <f t="shared" si="3"/>
        <v>No</v>
      </c>
      <c r="Q23" s="7" t="str">
        <f t="shared" si="6"/>
        <v>Band 4 (Lead/Mgr)</v>
      </c>
      <c r="R23" s="11" t="s">
        <v>47</v>
      </c>
    </row>
    <row r="24" spans="1:18" ht="15" customHeight="1" x14ac:dyDescent="0.3">
      <c r="A24" s="2" t="s">
        <v>130</v>
      </c>
      <c r="B24" s="3" t="s">
        <v>131</v>
      </c>
      <c r="C24" s="2" t="s">
        <v>15</v>
      </c>
      <c r="D24" s="2" t="s">
        <v>132</v>
      </c>
      <c r="E24" s="2" t="s">
        <v>70</v>
      </c>
      <c r="F24" s="2" t="s">
        <v>133</v>
      </c>
      <c r="G24" s="2">
        <v>2</v>
      </c>
      <c r="H24" s="4">
        <v>119400</v>
      </c>
      <c r="I24" s="5">
        <f t="shared" si="0"/>
        <v>0.02</v>
      </c>
      <c r="J24" s="4">
        <f t="shared" si="1"/>
        <v>2388</v>
      </c>
      <c r="K24" s="4">
        <f t="shared" si="2"/>
        <v>121788</v>
      </c>
      <c r="L24" s="2" t="s">
        <v>52</v>
      </c>
      <c r="M24" s="2">
        <v>69.099999999999994</v>
      </c>
      <c r="N24" s="5">
        <v>0.81</v>
      </c>
      <c r="O24" s="2">
        <v>64</v>
      </c>
      <c r="P24" s="2" t="str">
        <f t="shared" si="3"/>
        <v>No</v>
      </c>
      <c r="Q24" s="2" t="str">
        <f t="shared" si="6"/>
        <v>Band 3 (Senior)</v>
      </c>
      <c r="R24" s="14" t="s">
        <v>92</v>
      </c>
    </row>
    <row r="25" spans="1:18" ht="15" customHeight="1" x14ac:dyDescent="0.3">
      <c r="A25" s="7" t="s">
        <v>134</v>
      </c>
      <c r="B25" s="8" t="s">
        <v>135</v>
      </c>
      <c r="C25" s="7" t="s">
        <v>14</v>
      </c>
      <c r="D25" s="7" t="s">
        <v>128</v>
      </c>
      <c r="E25" s="7" t="s">
        <v>44</v>
      </c>
      <c r="F25" s="7" t="s">
        <v>136</v>
      </c>
      <c r="G25" s="7">
        <v>8</v>
      </c>
      <c r="H25" s="9">
        <v>56900</v>
      </c>
      <c r="I25" s="10">
        <f t="shared" si="0"/>
        <v>0.08</v>
      </c>
      <c r="J25" s="9">
        <f t="shared" si="1"/>
        <v>4552</v>
      </c>
      <c r="K25" s="9">
        <f t="shared" si="2"/>
        <v>61452</v>
      </c>
      <c r="L25" s="7" t="s">
        <v>57</v>
      </c>
      <c r="M25" s="7">
        <v>60.4</v>
      </c>
      <c r="N25" s="10">
        <v>0.97799999999999998</v>
      </c>
      <c r="O25" s="7">
        <v>74</v>
      </c>
      <c r="P25" s="7" t="str">
        <f t="shared" si="3"/>
        <v>No</v>
      </c>
      <c r="Q25" s="7" t="str">
        <f t="shared" si="6"/>
        <v>Band 1 (Junior)</v>
      </c>
      <c r="R25" s="11" t="s">
        <v>47</v>
      </c>
    </row>
    <row r="26" spans="1:18" ht="15" customHeight="1" x14ac:dyDescent="0.3">
      <c r="A26" s="2" t="s">
        <v>137</v>
      </c>
      <c r="B26" s="3" t="s">
        <v>138</v>
      </c>
      <c r="C26" s="2" t="s">
        <v>12</v>
      </c>
      <c r="D26" s="2" t="s">
        <v>115</v>
      </c>
      <c r="E26" s="2" t="s">
        <v>90</v>
      </c>
      <c r="F26" s="2" t="s">
        <v>139</v>
      </c>
      <c r="G26" s="2">
        <v>11</v>
      </c>
      <c r="H26" s="4">
        <v>148300</v>
      </c>
      <c r="I26" s="5">
        <f t="shared" si="0"/>
        <v>0.08</v>
      </c>
      <c r="J26" s="4">
        <f t="shared" si="1"/>
        <v>11864</v>
      </c>
      <c r="K26" s="4">
        <f t="shared" si="2"/>
        <v>160164</v>
      </c>
      <c r="L26" s="2" t="s">
        <v>57</v>
      </c>
      <c r="M26" s="2">
        <v>64.2</v>
      </c>
      <c r="N26" s="5">
        <v>0.94299999999999995</v>
      </c>
      <c r="O26" s="2">
        <v>33</v>
      </c>
      <c r="P26" s="2" t="str">
        <f t="shared" si="3"/>
        <v>No</v>
      </c>
      <c r="Q26" s="2" t="str">
        <f t="shared" si="6"/>
        <v>Band 4 (Lead/Mgr)</v>
      </c>
      <c r="R26" s="6" t="s">
        <v>47</v>
      </c>
    </row>
    <row r="27" spans="1:18" ht="15" customHeight="1" x14ac:dyDescent="0.3">
      <c r="A27" s="7" t="s">
        <v>140</v>
      </c>
      <c r="B27" s="8" t="s">
        <v>141</v>
      </c>
      <c r="C27" s="7" t="s">
        <v>14</v>
      </c>
      <c r="D27" s="7" t="s">
        <v>142</v>
      </c>
      <c r="E27" s="7" t="s">
        <v>65</v>
      </c>
      <c r="F27" s="7" t="s">
        <v>143</v>
      </c>
      <c r="G27" s="7">
        <v>3</v>
      </c>
      <c r="H27" s="9">
        <v>215000</v>
      </c>
      <c r="I27" s="10">
        <f t="shared" si="0"/>
        <v>0.15</v>
      </c>
      <c r="J27" s="9">
        <f t="shared" si="1"/>
        <v>32250</v>
      </c>
      <c r="K27" s="9">
        <f t="shared" si="2"/>
        <v>247250</v>
      </c>
      <c r="L27" s="7" t="s">
        <v>97</v>
      </c>
      <c r="M27" s="7">
        <v>75.599999999999994</v>
      </c>
      <c r="N27" s="10">
        <v>1</v>
      </c>
      <c r="O27" s="7">
        <v>9</v>
      </c>
      <c r="P27" s="7" t="str">
        <f t="shared" si="3"/>
        <v>No</v>
      </c>
      <c r="Q27" s="7" t="str">
        <f t="shared" si="6"/>
        <v>Band 5 (Director)</v>
      </c>
      <c r="R27" s="11" t="s">
        <v>47</v>
      </c>
    </row>
    <row r="28" spans="1:18" ht="15" customHeight="1" x14ac:dyDescent="0.3">
      <c r="A28" s="2" t="s">
        <v>144</v>
      </c>
      <c r="B28" s="3" t="s">
        <v>145</v>
      </c>
      <c r="C28" s="2" t="s">
        <v>15</v>
      </c>
      <c r="D28" s="2" t="s">
        <v>74</v>
      </c>
      <c r="E28" s="2" t="s">
        <v>90</v>
      </c>
      <c r="F28" s="2" t="s">
        <v>146</v>
      </c>
      <c r="G28" s="2">
        <v>8</v>
      </c>
      <c r="H28" s="4">
        <v>164000</v>
      </c>
      <c r="I28" s="5">
        <f t="shared" si="0"/>
        <v>0.2</v>
      </c>
      <c r="J28" s="4">
        <f t="shared" si="1"/>
        <v>32800</v>
      </c>
      <c r="K28" s="4">
        <f t="shared" si="2"/>
        <v>196800</v>
      </c>
      <c r="L28" s="2" t="s">
        <v>46</v>
      </c>
      <c r="M28" s="2">
        <v>67.8</v>
      </c>
      <c r="N28" s="5">
        <v>0.88800000000000001</v>
      </c>
      <c r="O28" s="2">
        <v>38</v>
      </c>
      <c r="P28" s="2" t="str">
        <f t="shared" si="3"/>
        <v>No</v>
      </c>
      <c r="Q28" s="2" t="str">
        <f t="shared" si="6"/>
        <v>Band 4 (Lead/Mgr)</v>
      </c>
      <c r="R28" s="6" t="s">
        <v>47</v>
      </c>
    </row>
    <row r="29" spans="1:18" ht="15" customHeight="1" x14ac:dyDescent="0.3">
      <c r="A29" s="7" t="s">
        <v>147</v>
      </c>
      <c r="B29" s="8" t="s">
        <v>148</v>
      </c>
      <c r="C29" s="7" t="s">
        <v>12</v>
      </c>
      <c r="D29" s="7" t="s">
        <v>149</v>
      </c>
      <c r="E29" s="7" t="s">
        <v>65</v>
      </c>
      <c r="F29" s="7" t="s">
        <v>150</v>
      </c>
      <c r="G29" s="7">
        <v>4</v>
      </c>
      <c r="H29" s="9">
        <v>168500</v>
      </c>
      <c r="I29" s="10">
        <f t="shared" si="0"/>
        <v>0.2</v>
      </c>
      <c r="J29" s="9">
        <f t="shared" si="1"/>
        <v>33700</v>
      </c>
      <c r="K29" s="9">
        <f t="shared" si="2"/>
        <v>202200</v>
      </c>
      <c r="L29" s="7" t="s">
        <v>46</v>
      </c>
      <c r="M29" s="7">
        <v>79.900000000000006</v>
      </c>
      <c r="N29" s="10">
        <v>0.85399999999999998</v>
      </c>
      <c r="O29" s="7">
        <v>26</v>
      </c>
      <c r="P29" s="7" t="str">
        <f t="shared" si="3"/>
        <v>No</v>
      </c>
      <c r="Q29" s="7" t="str">
        <f t="shared" si="6"/>
        <v>Band 4 (Lead/Mgr)</v>
      </c>
      <c r="R29" s="12" t="s">
        <v>72</v>
      </c>
    </row>
    <row r="30" spans="1:18" ht="15" customHeight="1" x14ac:dyDescent="0.3">
      <c r="A30" s="2" t="s">
        <v>151</v>
      </c>
      <c r="B30" s="3" t="s">
        <v>152</v>
      </c>
      <c r="C30" s="2" t="s">
        <v>17</v>
      </c>
      <c r="D30" s="2" t="s">
        <v>95</v>
      </c>
      <c r="E30" s="2" t="s">
        <v>85</v>
      </c>
      <c r="F30" s="2" t="s">
        <v>153</v>
      </c>
      <c r="G30" s="2">
        <v>2</v>
      </c>
      <c r="H30" s="4">
        <v>71300</v>
      </c>
      <c r="I30" s="5">
        <f t="shared" si="0"/>
        <v>0.15</v>
      </c>
      <c r="J30" s="4">
        <f t="shared" si="1"/>
        <v>10695</v>
      </c>
      <c r="K30" s="4">
        <f t="shared" si="2"/>
        <v>81995</v>
      </c>
      <c r="L30" s="2" t="s">
        <v>97</v>
      </c>
      <c r="M30" s="2">
        <v>83.5</v>
      </c>
      <c r="N30" s="5">
        <v>0.96599999999999997</v>
      </c>
      <c r="O30" s="2">
        <v>0</v>
      </c>
      <c r="P30" s="2" t="str">
        <f t="shared" si="3"/>
        <v>Yes</v>
      </c>
      <c r="Q30" s="2" t="str">
        <f t="shared" si="6"/>
        <v>Band 2 (Mid)</v>
      </c>
      <c r="R30" s="6" t="s">
        <v>47</v>
      </c>
    </row>
    <row r="31" spans="1:18" ht="15" customHeight="1" x14ac:dyDescent="0.3">
      <c r="A31" s="7" t="s">
        <v>154</v>
      </c>
      <c r="B31" s="8" t="s">
        <v>155</v>
      </c>
      <c r="C31" s="7" t="s">
        <v>14</v>
      </c>
      <c r="D31" s="7" t="s">
        <v>142</v>
      </c>
      <c r="E31" s="7" t="s">
        <v>65</v>
      </c>
      <c r="F31" s="7" t="s">
        <v>156</v>
      </c>
      <c r="G31" s="7">
        <v>14</v>
      </c>
      <c r="H31" s="9">
        <v>188600</v>
      </c>
      <c r="I31" s="10">
        <f t="shared" si="0"/>
        <v>0.08</v>
      </c>
      <c r="J31" s="9">
        <f t="shared" si="1"/>
        <v>15088</v>
      </c>
      <c r="K31" s="9">
        <f t="shared" si="2"/>
        <v>203688</v>
      </c>
      <c r="L31" s="7" t="s">
        <v>57</v>
      </c>
      <c r="M31" s="7">
        <v>55.4</v>
      </c>
      <c r="N31" s="10">
        <v>0.81499999999999995</v>
      </c>
      <c r="O31" s="7">
        <v>69</v>
      </c>
      <c r="P31" s="7" t="str">
        <f t="shared" si="3"/>
        <v>No</v>
      </c>
      <c r="Q31" s="7" t="str">
        <f t="shared" si="6"/>
        <v>Band 5 (Director)</v>
      </c>
      <c r="R31" s="11" t="s">
        <v>47</v>
      </c>
    </row>
    <row r="32" spans="1:18" ht="15" customHeight="1" x14ac:dyDescent="0.3">
      <c r="A32" s="2" t="s">
        <v>157</v>
      </c>
      <c r="B32" s="3" t="s">
        <v>158</v>
      </c>
      <c r="C32" s="2" t="s">
        <v>17</v>
      </c>
      <c r="D32" s="2" t="s">
        <v>69</v>
      </c>
      <c r="E32" s="2" t="s">
        <v>90</v>
      </c>
      <c r="F32" s="2" t="s">
        <v>159</v>
      </c>
      <c r="G32" s="2">
        <v>12</v>
      </c>
      <c r="H32" s="4">
        <v>122100</v>
      </c>
      <c r="I32" s="5">
        <f t="shared" si="0"/>
        <v>0.08</v>
      </c>
      <c r="J32" s="4">
        <f t="shared" si="1"/>
        <v>9768</v>
      </c>
      <c r="K32" s="4">
        <f t="shared" si="2"/>
        <v>131868</v>
      </c>
      <c r="L32" s="2" t="s">
        <v>57</v>
      </c>
      <c r="M32" s="2">
        <v>95.5</v>
      </c>
      <c r="N32" s="5">
        <v>0.84199999999999997</v>
      </c>
      <c r="O32" s="2">
        <v>13</v>
      </c>
      <c r="P32" s="2" t="str">
        <f t="shared" si="3"/>
        <v>Yes</v>
      </c>
      <c r="Q32" s="43" t="s">
        <v>81</v>
      </c>
      <c r="R32" s="6" t="s">
        <v>47</v>
      </c>
    </row>
    <row r="33" spans="1:18" ht="15" customHeight="1" x14ac:dyDescent="0.3">
      <c r="A33" s="7" t="s">
        <v>160</v>
      </c>
      <c r="B33" s="8" t="s">
        <v>161</v>
      </c>
      <c r="C33" s="7" t="s">
        <v>18</v>
      </c>
      <c r="D33" s="7" t="s">
        <v>162</v>
      </c>
      <c r="E33" s="7" t="s">
        <v>90</v>
      </c>
      <c r="F33" s="7" t="s">
        <v>163</v>
      </c>
      <c r="G33" s="7">
        <v>6</v>
      </c>
      <c r="H33" s="9">
        <v>168800</v>
      </c>
      <c r="I33" s="10">
        <f t="shared" si="0"/>
        <v>0.08</v>
      </c>
      <c r="J33" s="9">
        <f t="shared" si="1"/>
        <v>13504</v>
      </c>
      <c r="K33" s="9">
        <f t="shared" si="2"/>
        <v>182304</v>
      </c>
      <c r="L33" s="7" t="s">
        <v>57</v>
      </c>
      <c r="M33" s="7">
        <v>56.1</v>
      </c>
      <c r="N33" s="10">
        <v>0.94699999999999995</v>
      </c>
      <c r="O33" s="7">
        <v>52</v>
      </c>
      <c r="P33" s="7" t="str">
        <f t="shared" si="3"/>
        <v>No</v>
      </c>
      <c r="Q33" s="7" t="str">
        <f t="shared" ref="Q33:Q45" si="7">IF(H33&lt;65000,"Band 1 (Junior)",IF(H33&lt;90000,"Band 2 (Mid)",IF(H33&lt;130000,"Band 3 (Senior)",IF(H33&lt;170000,"Band 4 (Lead/Mgr)","Band 5 (Director)"))))</f>
        <v>Band 4 (Lead/Mgr)</v>
      </c>
      <c r="R33" s="13" t="s">
        <v>92</v>
      </c>
    </row>
    <row r="34" spans="1:18" ht="15" customHeight="1" x14ac:dyDescent="0.3">
      <c r="A34" s="2" t="s">
        <v>164</v>
      </c>
      <c r="B34" s="3" t="s">
        <v>165</v>
      </c>
      <c r="C34" s="2" t="s">
        <v>15</v>
      </c>
      <c r="D34" s="2" t="s">
        <v>132</v>
      </c>
      <c r="E34" s="2" t="s">
        <v>70</v>
      </c>
      <c r="F34" s="2" t="s">
        <v>166</v>
      </c>
      <c r="G34" s="2">
        <v>16</v>
      </c>
      <c r="H34" s="4">
        <v>124900</v>
      </c>
      <c r="I34" s="5">
        <f t="shared" si="0"/>
        <v>0.08</v>
      </c>
      <c r="J34" s="4">
        <f t="shared" si="1"/>
        <v>9992</v>
      </c>
      <c r="K34" s="4">
        <f t="shared" si="2"/>
        <v>134892</v>
      </c>
      <c r="L34" s="2" t="s">
        <v>57</v>
      </c>
      <c r="M34" s="2">
        <v>64</v>
      </c>
      <c r="N34" s="5">
        <v>0.98399999999999999</v>
      </c>
      <c r="O34" s="2">
        <v>39</v>
      </c>
      <c r="P34" s="2" t="str">
        <f t="shared" si="3"/>
        <v>No</v>
      </c>
      <c r="Q34" s="2" t="str">
        <f t="shared" si="7"/>
        <v>Band 3 (Senior)</v>
      </c>
      <c r="R34" s="14" t="s">
        <v>92</v>
      </c>
    </row>
    <row r="35" spans="1:18" ht="15" customHeight="1" x14ac:dyDescent="0.3">
      <c r="A35" s="7" t="s">
        <v>167</v>
      </c>
      <c r="B35" s="8" t="s">
        <v>168</v>
      </c>
      <c r="C35" s="7" t="s">
        <v>15</v>
      </c>
      <c r="D35" s="7" t="s">
        <v>64</v>
      </c>
      <c r="E35" s="7" t="s">
        <v>85</v>
      </c>
      <c r="F35" s="7" t="s">
        <v>169</v>
      </c>
      <c r="G35" s="7">
        <v>3</v>
      </c>
      <c r="H35" s="9">
        <v>73200</v>
      </c>
      <c r="I35" s="10">
        <f t="shared" si="0"/>
        <v>0.2</v>
      </c>
      <c r="J35" s="9">
        <f t="shared" si="1"/>
        <v>14640</v>
      </c>
      <c r="K35" s="9">
        <f t="shared" si="2"/>
        <v>87840</v>
      </c>
      <c r="L35" s="7" t="s">
        <v>46</v>
      </c>
      <c r="M35" s="7">
        <v>70.8</v>
      </c>
      <c r="N35" s="10">
        <v>0.90200000000000002</v>
      </c>
      <c r="O35" s="7">
        <v>42</v>
      </c>
      <c r="P35" s="7" t="str">
        <f t="shared" si="3"/>
        <v>No</v>
      </c>
      <c r="Q35" s="7" t="str">
        <f t="shared" si="7"/>
        <v>Band 2 (Mid)</v>
      </c>
      <c r="R35" s="11" t="s">
        <v>47</v>
      </c>
    </row>
    <row r="36" spans="1:18" ht="15" customHeight="1" x14ac:dyDescent="0.3">
      <c r="A36" s="2" t="s">
        <v>170</v>
      </c>
      <c r="B36" s="3" t="s">
        <v>171</v>
      </c>
      <c r="C36" s="2" t="s">
        <v>13</v>
      </c>
      <c r="D36" s="2" t="s">
        <v>172</v>
      </c>
      <c r="E36" s="2" t="s">
        <v>70</v>
      </c>
      <c r="F36" s="2" t="s">
        <v>173</v>
      </c>
      <c r="G36" s="2">
        <v>20</v>
      </c>
      <c r="H36" s="4">
        <v>91500</v>
      </c>
      <c r="I36" s="5">
        <f t="shared" ref="I36:I53" si="8">IF(L36="Outstanding",0.2,IF(L36="Exceeds",0.15,IF(L36="Meets",0.08,IF(L36="Below",0.02,0))))</f>
        <v>0.02</v>
      </c>
      <c r="J36" s="4">
        <f t="shared" ref="J36:J67" si="9">H36*I36</f>
        <v>1830</v>
      </c>
      <c r="K36" s="4">
        <f t="shared" ref="K36:K67" si="10">H36+J36</f>
        <v>93330</v>
      </c>
      <c r="L36" s="2" t="s">
        <v>52</v>
      </c>
      <c r="M36" s="2">
        <v>70.599999999999994</v>
      </c>
      <c r="N36" s="5">
        <v>0.95699999999999996</v>
      </c>
      <c r="O36" s="2">
        <v>77</v>
      </c>
      <c r="P36" s="2" t="str">
        <f t="shared" ref="P36:P53" si="11">IF(AND(G36&gt;=2,M36&gt;=80,L36&lt;&gt;"Below"),"Yes","No")</f>
        <v>No</v>
      </c>
      <c r="Q36" s="2" t="str">
        <f t="shared" si="7"/>
        <v>Band 3 (Senior)</v>
      </c>
      <c r="R36" s="6" t="s">
        <v>47</v>
      </c>
    </row>
    <row r="37" spans="1:18" ht="15" customHeight="1" x14ac:dyDescent="0.3">
      <c r="A37" s="7" t="s">
        <v>174</v>
      </c>
      <c r="B37" s="8" t="s">
        <v>175</v>
      </c>
      <c r="C37" s="7" t="s">
        <v>13</v>
      </c>
      <c r="D37" s="7" t="s">
        <v>172</v>
      </c>
      <c r="E37" s="7" t="s">
        <v>79</v>
      </c>
      <c r="F37" s="7" t="s">
        <v>176</v>
      </c>
      <c r="G37" s="7">
        <v>1</v>
      </c>
      <c r="H37" s="9">
        <v>138400</v>
      </c>
      <c r="I37" s="10">
        <f t="shared" si="8"/>
        <v>0.08</v>
      </c>
      <c r="J37" s="9">
        <f t="shared" si="9"/>
        <v>11072</v>
      </c>
      <c r="K37" s="9">
        <f t="shared" si="10"/>
        <v>149472</v>
      </c>
      <c r="L37" s="7" t="s">
        <v>57</v>
      </c>
      <c r="M37" s="7">
        <v>96.7</v>
      </c>
      <c r="N37" s="10">
        <v>0.90800000000000003</v>
      </c>
      <c r="O37" s="7">
        <v>46</v>
      </c>
      <c r="P37" s="7" t="str">
        <f t="shared" si="11"/>
        <v>No</v>
      </c>
      <c r="Q37" s="7" t="str">
        <f t="shared" si="7"/>
        <v>Band 4 (Lead/Mgr)</v>
      </c>
      <c r="R37" s="11" t="s">
        <v>47</v>
      </c>
    </row>
    <row r="38" spans="1:18" ht="15" customHeight="1" x14ac:dyDescent="0.3">
      <c r="A38" s="2" t="s">
        <v>177</v>
      </c>
      <c r="B38" s="3" t="s">
        <v>178</v>
      </c>
      <c r="C38" s="2" t="s">
        <v>13</v>
      </c>
      <c r="D38" s="2" t="s">
        <v>43</v>
      </c>
      <c r="E38" s="2" t="s">
        <v>65</v>
      </c>
      <c r="F38" s="2" t="s">
        <v>150</v>
      </c>
      <c r="G38" s="2">
        <v>4</v>
      </c>
      <c r="H38" s="4">
        <v>196400</v>
      </c>
      <c r="I38" s="5">
        <f t="shared" si="8"/>
        <v>0.02</v>
      </c>
      <c r="J38" s="4">
        <f t="shared" si="9"/>
        <v>3928</v>
      </c>
      <c r="K38" s="4">
        <f t="shared" si="10"/>
        <v>200328</v>
      </c>
      <c r="L38" s="2" t="s">
        <v>52</v>
      </c>
      <c r="M38" s="2">
        <v>95.5</v>
      </c>
      <c r="N38" s="5">
        <v>0.90100000000000002</v>
      </c>
      <c r="O38" s="2">
        <v>41</v>
      </c>
      <c r="P38" s="2" t="str">
        <f t="shared" si="11"/>
        <v>No</v>
      </c>
      <c r="Q38" s="2" t="str">
        <f t="shared" si="7"/>
        <v>Band 5 (Director)</v>
      </c>
      <c r="R38" s="6" t="s">
        <v>47</v>
      </c>
    </row>
    <row r="39" spans="1:18" ht="15" customHeight="1" x14ac:dyDescent="0.3">
      <c r="A39" s="7" t="s">
        <v>179</v>
      </c>
      <c r="B39" s="8" t="s">
        <v>180</v>
      </c>
      <c r="C39" s="7" t="s">
        <v>16</v>
      </c>
      <c r="D39" s="7" t="s">
        <v>55</v>
      </c>
      <c r="E39" s="7" t="s">
        <v>90</v>
      </c>
      <c r="F39" s="7" t="s">
        <v>181</v>
      </c>
      <c r="G39" s="7">
        <v>13</v>
      </c>
      <c r="H39" s="9">
        <v>153200</v>
      </c>
      <c r="I39" s="10">
        <f t="shared" si="8"/>
        <v>0.2</v>
      </c>
      <c r="J39" s="9">
        <f t="shared" si="9"/>
        <v>30640</v>
      </c>
      <c r="K39" s="9">
        <f t="shared" si="10"/>
        <v>183840</v>
      </c>
      <c r="L39" s="7" t="s">
        <v>46</v>
      </c>
      <c r="M39" s="7">
        <v>88.7</v>
      </c>
      <c r="N39" s="10">
        <v>0.83499999999999996</v>
      </c>
      <c r="O39" s="7">
        <v>38</v>
      </c>
      <c r="P39" s="7" t="str">
        <f t="shared" si="11"/>
        <v>Yes</v>
      </c>
      <c r="Q39" s="7" t="str">
        <f t="shared" si="7"/>
        <v>Band 4 (Lead/Mgr)</v>
      </c>
      <c r="R39" s="11" t="s">
        <v>47</v>
      </c>
    </row>
    <row r="40" spans="1:18" ht="15" customHeight="1" x14ac:dyDescent="0.3">
      <c r="A40" s="2" t="s">
        <v>182</v>
      </c>
      <c r="B40" s="3" t="s">
        <v>180</v>
      </c>
      <c r="C40" s="2" t="s">
        <v>12</v>
      </c>
      <c r="D40" s="2" t="s">
        <v>149</v>
      </c>
      <c r="E40" s="2" t="s">
        <v>70</v>
      </c>
      <c r="F40" s="2" t="s">
        <v>183</v>
      </c>
      <c r="G40" s="2">
        <v>20</v>
      </c>
      <c r="H40" s="4">
        <v>121400</v>
      </c>
      <c r="I40" s="5">
        <f t="shared" si="8"/>
        <v>0.08</v>
      </c>
      <c r="J40" s="4">
        <f t="shared" si="9"/>
        <v>9712</v>
      </c>
      <c r="K40" s="4">
        <f t="shared" si="10"/>
        <v>131112</v>
      </c>
      <c r="L40" s="2" t="s">
        <v>57</v>
      </c>
      <c r="M40" s="2">
        <v>69.5</v>
      </c>
      <c r="N40" s="5">
        <v>0.88800000000000001</v>
      </c>
      <c r="O40" s="2">
        <v>65</v>
      </c>
      <c r="P40" s="2" t="str">
        <f t="shared" si="11"/>
        <v>No</v>
      </c>
      <c r="Q40" s="2" t="str">
        <f t="shared" si="7"/>
        <v>Band 3 (Senior)</v>
      </c>
      <c r="R40" s="6" t="s">
        <v>47</v>
      </c>
    </row>
    <row r="41" spans="1:18" ht="15" customHeight="1" x14ac:dyDescent="0.3">
      <c r="A41" s="7" t="s">
        <v>184</v>
      </c>
      <c r="B41" s="8" t="s">
        <v>185</v>
      </c>
      <c r="C41" s="7" t="s">
        <v>14</v>
      </c>
      <c r="D41" s="7" t="s">
        <v>128</v>
      </c>
      <c r="E41" s="7" t="s">
        <v>65</v>
      </c>
      <c r="F41" s="7" t="s">
        <v>186</v>
      </c>
      <c r="G41" s="7">
        <v>20</v>
      </c>
      <c r="H41" s="9">
        <v>196500</v>
      </c>
      <c r="I41" s="10">
        <f t="shared" si="8"/>
        <v>0.08</v>
      </c>
      <c r="J41" s="9">
        <f t="shared" si="9"/>
        <v>15720</v>
      </c>
      <c r="K41" s="9">
        <f t="shared" si="10"/>
        <v>212220</v>
      </c>
      <c r="L41" s="7" t="s">
        <v>57</v>
      </c>
      <c r="M41" s="7">
        <v>59.2</v>
      </c>
      <c r="N41" s="10">
        <v>0.99</v>
      </c>
      <c r="O41" s="7">
        <v>39</v>
      </c>
      <c r="P41" s="7" t="str">
        <f t="shared" si="11"/>
        <v>No</v>
      </c>
      <c r="Q41" s="7" t="str">
        <f t="shared" si="7"/>
        <v>Band 5 (Director)</v>
      </c>
      <c r="R41" s="11" t="s">
        <v>47</v>
      </c>
    </row>
    <row r="42" spans="1:18" ht="15" customHeight="1" x14ac:dyDescent="0.3">
      <c r="A42" s="2" t="s">
        <v>187</v>
      </c>
      <c r="B42" s="3" t="s">
        <v>63</v>
      </c>
      <c r="C42" s="2" t="s">
        <v>15</v>
      </c>
      <c r="D42" s="2" t="s">
        <v>64</v>
      </c>
      <c r="E42" s="2" t="s">
        <v>85</v>
      </c>
      <c r="F42" s="2" t="s">
        <v>188</v>
      </c>
      <c r="G42" s="2">
        <v>20</v>
      </c>
      <c r="H42" s="4">
        <v>89600</v>
      </c>
      <c r="I42" s="5">
        <f t="shared" si="8"/>
        <v>0.2</v>
      </c>
      <c r="J42" s="4">
        <f t="shared" si="9"/>
        <v>17920</v>
      </c>
      <c r="K42" s="4">
        <f t="shared" si="10"/>
        <v>107520</v>
      </c>
      <c r="L42" s="2" t="s">
        <v>46</v>
      </c>
      <c r="M42" s="2">
        <v>75.5</v>
      </c>
      <c r="N42" s="5">
        <v>0.97699999999999998</v>
      </c>
      <c r="O42" s="2">
        <v>24</v>
      </c>
      <c r="P42" s="2" t="str">
        <f t="shared" si="11"/>
        <v>No</v>
      </c>
      <c r="Q42" s="2" t="str">
        <f t="shared" si="7"/>
        <v>Band 2 (Mid)</v>
      </c>
      <c r="R42" s="15" t="s">
        <v>72</v>
      </c>
    </row>
    <row r="43" spans="1:18" ht="15" customHeight="1" x14ac:dyDescent="0.3">
      <c r="A43" s="7" t="s">
        <v>189</v>
      </c>
      <c r="B43" s="8" t="s">
        <v>190</v>
      </c>
      <c r="C43" s="7" t="s">
        <v>18</v>
      </c>
      <c r="D43" s="7" t="s">
        <v>89</v>
      </c>
      <c r="E43" s="7" t="s">
        <v>79</v>
      </c>
      <c r="F43" s="7" t="s">
        <v>191</v>
      </c>
      <c r="G43" s="7">
        <v>1</v>
      </c>
      <c r="H43" s="9">
        <v>136200</v>
      </c>
      <c r="I43" s="10">
        <f t="shared" si="8"/>
        <v>0.2</v>
      </c>
      <c r="J43" s="9">
        <f t="shared" si="9"/>
        <v>27240</v>
      </c>
      <c r="K43" s="9">
        <f t="shared" si="10"/>
        <v>163440</v>
      </c>
      <c r="L43" s="7" t="s">
        <v>46</v>
      </c>
      <c r="M43" s="7">
        <v>90</v>
      </c>
      <c r="N43" s="10">
        <v>0.84399999999999997</v>
      </c>
      <c r="O43" s="7">
        <v>59</v>
      </c>
      <c r="P43" s="7" t="str">
        <f t="shared" si="11"/>
        <v>No</v>
      </c>
      <c r="Q43" s="7" t="str">
        <f t="shared" si="7"/>
        <v>Band 4 (Lead/Mgr)</v>
      </c>
      <c r="R43" s="11" t="s">
        <v>47</v>
      </c>
    </row>
    <row r="44" spans="1:18" ht="15" customHeight="1" x14ac:dyDescent="0.3">
      <c r="A44" s="2" t="s">
        <v>192</v>
      </c>
      <c r="B44" s="3" t="s">
        <v>193</v>
      </c>
      <c r="C44" s="2" t="s">
        <v>15</v>
      </c>
      <c r="D44" s="2" t="s">
        <v>84</v>
      </c>
      <c r="E44" s="2" t="s">
        <v>44</v>
      </c>
      <c r="F44" s="2" t="s">
        <v>194</v>
      </c>
      <c r="G44" s="2">
        <v>18</v>
      </c>
      <c r="H44" s="4">
        <v>58400</v>
      </c>
      <c r="I44" s="5">
        <f t="shared" si="8"/>
        <v>0.02</v>
      </c>
      <c r="J44" s="4">
        <f t="shared" si="9"/>
        <v>1168</v>
      </c>
      <c r="K44" s="4">
        <f t="shared" si="10"/>
        <v>59568</v>
      </c>
      <c r="L44" s="2" t="s">
        <v>52</v>
      </c>
      <c r="M44" s="2">
        <v>69.3</v>
      </c>
      <c r="N44" s="5">
        <v>0.95099999999999996</v>
      </c>
      <c r="O44" s="2">
        <v>78</v>
      </c>
      <c r="P44" s="2" t="str">
        <f t="shared" si="11"/>
        <v>No</v>
      </c>
      <c r="Q44" s="2" t="str">
        <f t="shared" si="7"/>
        <v>Band 1 (Junior)</v>
      </c>
      <c r="R44" s="14" t="s">
        <v>92</v>
      </c>
    </row>
    <row r="45" spans="1:18" ht="15" customHeight="1" x14ac:dyDescent="0.3">
      <c r="A45" s="7" t="s">
        <v>195</v>
      </c>
      <c r="B45" s="8" t="s">
        <v>196</v>
      </c>
      <c r="C45" s="7" t="s">
        <v>18</v>
      </c>
      <c r="D45" s="7" t="s">
        <v>89</v>
      </c>
      <c r="E45" s="7" t="s">
        <v>90</v>
      </c>
      <c r="F45" s="7" t="s">
        <v>197</v>
      </c>
      <c r="G45" s="7">
        <v>8</v>
      </c>
      <c r="H45" s="9">
        <v>142500</v>
      </c>
      <c r="I45" s="10">
        <f t="shared" si="8"/>
        <v>0.02</v>
      </c>
      <c r="J45" s="9">
        <f t="shared" si="9"/>
        <v>2850</v>
      </c>
      <c r="K45" s="9">
        <f t="shared" si="10"/>
        <v>145350</v>
      </c>
      <c r="L45" s="7" t="s">
        <v>52</v>
      </c>
      <c r="M45" s="7">
        <v>67.5</v>
      </c>
      <c r="N45" s="10">
        <v>0.95599999999999996</v>
      </c>
      <c r="O45" s="7">
        <v>80</v>
      </c>
      <c r="P45" s="7" t="str">
        <f t="shared" si="11"/>
        <v>No</v>
      </c>
      <c r="Q45" s="7" t="str">
        <f t="shared" si="7"/>
        <v>Band 4 (Lead/Mgr)</v>
      </c>
      <c r="R45" s="11" t="s">
        <v>47</v>
      </c>
    </row>
    <row r="46" spans="1:18" ht="15" customHeight="1" x14ac:dyDescent="0.3">
      <c r="A46" s="2" t="s">
        <v>198</v>
      </c>
      <c r="B46" s="3" t="s">
        <v>199</v>
      </c>
      <c r="C46" s="2" t="s">
        <v>16</v>
      </c>
      <c r="D46" s="2" t="s">
        <v>103</v>
      </c>
      <c r="E46" s="2" t="s">
        <v>79</v>
      </c>
      <c r="F46" s="2" t="s">
        <v>200</v>
      </c>
      <c r="G46" s="2">
        <v>11</v>
      </c>
      <c r="H46" s="4">
        <v>120900</v>
      </c>
      <c r="I46" s="5">
        <f t="shared" si="8"/>
        <v>0.02</v>
      </c>
      <c r="J46" s="4">
        <f t="shared" si="9"/>
        <v>2418</v>
      </c>
      <c r="K46" s="4">
        <f t="shared" si="10"/>
        <v>123318</v>
      </c>
      <c r="L46" s="2" t="s">
        <v>52</v>
      </c>
      <c r="M46" s="2">
        <v>58.6</v>
      </c>
      <c r="N46" s="5">
        <v>0.83</v>
      </c>
      <c r="O46" s="2">
        <v>19</v>
      </c>
      <c r="P46" s="2" t="str">
        <f t="shared" si="11"/>
        <v>No</v>
      </c>
      <c r="Q46" s="43" t="s">
        <v>81</v>
      </c>
      <c r="R46" s="15" t="s">
        <v>72</v>
      </c>
    </row>
    <row r="47" spans="1:18" ht="15" customHeight="1" x14ac:dyDescent="0.3">
      <c r="A47" s="7" t="s">
        <v>201</v>
      </c>
      <c r="B47" s="8" t="s">
        <v>54</v>
      </c>
      <c r="C47" s="7" t="s">
        <v>15</v>
      </c>
      <c r="D47" s="7" t="s">
        <v>84</v>
      </c>
      <c r="E47" s="7" t="s">
        <v>44</v>
      </c>
      <c r="F47" s="7" t="s">
        <v>202</v>
      </c>
      <c r="G47" s="7">
        <v>14</v>
      </c>
      <c r="H47" s="9">
        <v>55900</v>
      </c>
      <c r="I47" s="10">
        <f t="shared" si="8"/>
        <v>0.2</v>
      </c>
      <c r="J47" s="9">
        <f t="shared" si="9"/>
        <v>11180</v>
      </c>
      <c r="K47" s="9">
        <f t="shared" si="10"/>
        <v>67080</v>
      </c>
      <c r="L47" s="7" t="s">
        <v>46</v>
      </c>
      <c r="M47" s="7">
        <v>64.3</v>
      </c>
      <c r="N47" s="10">
        <v>0.88400000000000001</v>
      </c>
      <c r="O47" s="7">
        <v>2</v>
      </c>
      <c r="P47" s="7" t="str">
        <f t="shared" si="11"/>
        <v>No</v>
      </c>
      <c r="Q47" s="7" t="str">
        <f>IF(H47&lt;65000,"Band 1 (Junior)",IF(H47&lt;90000,"Band 2 (Mid)",IF(H47&lt;130000,"Band 3 (Senior)",IF(H47&lt;170000,"Band 4 (Lead/Mgr)","Band 5 (Director)"))))</f>
        <v>Band 1 (Junior)</v>
      </c>
      <c r="R47" s="13" t="s">
        <v>92</v>
      </c>
    </row>
    <row r="48" spans="1:18" ht="15" customHeight="1" x14ac:dyDescent="0.3">
      <c r="A48" s="2" t="s">
        <v>203</v>
      </c>
      <c r="B48" s="3" t="s">
        <v>204</v>
      </c>
      <c r="C48" s="2" t="s">
        <v>18</v>
      </c>
      <c r="D48" s="2" t="s">
        <v>205</v>
      </c>
      <c r="E48" s="2" t="s">
        <v>79</v>
      </c>
      <c r="F48" s="2" t="s">
        <v>156</v>
      </c>
      <c r="G48" s="2">
        <v>14</v>
      </c>
      <c r="H48" s="4">
        <v>140100</v>
      </c>
      <c r="I48" s="5">
        <f t="shared" si="8"/>
        <v>0.2</v>
      </c>
      <c r="J48" s="4">
        <f t="shared" si="9"/>
        <v>28020</v>
      </c>
      <c r="K48" s="4">
        <f t="shared" si="10"/>
        <v>168120</v>
      </c>
      <c r="L48" s="2" t="s">
        <v>46</v>
      </c>
      <c r="M48" s="2">
        <v>88.6</v>
      </c>
      <c r="N48" s="5">
        <v>0.90900000000000003</v>
      </c>
      <c r="O48" s="2">
        <v>28</v>
      </c>
      <c r="P48" s="2" t="str">
        <f t="shared" si="11"/>
        <v>Yes</v>
      </c>
      <c r="Q48" s="2" t="str">
        <f>IF(H48&lt;65000,"Band 1 (Junior)",IF(H48&lt;90000,"Band 2 (Mid)",IF(H48&lt;130000,"Band 3 (Senior)",IF(H48&lt;170000,"Band 4 (Lead/Mgr)","Band 5 (Director)"))))</f>
        <v>Band 4 (Lead/Mgr)</v>
      </c>
      <c r="R48" s="6" t="s">
        <v>47</v>
      </c>
    </row>
    <row r="49" spans="1:18" ht="15" customHeight="1" x14ac:dyDescent="0.3">
      <c r="A49" s="7" t="s">
        <v>206</v>
      </c>
      <c r="B49" s="8" t="s">
        <v>207</v>
      </c>
      <c r="C49" s="7" t="s">
        <v>15</v>
      </c>
      <c r="D49" s="7" t="s">
        <v>84</v>
      </c>
      <c r="E49" s="7" t="s">
        <v>70</v>
      </c>
      <c r="F49" s="7" t="s">
        <v>208</v>
      </c>
      <c r="G49" s="7">
        <v>13</v>
      </c>
      <c r="H49" s="9">
        <v>105600</v>
      </c>
      <c r="I49" s="10">
        <f t="shared" si="8"/>
        <v>0.08</v>
      </c>
      <c r="J49" s="9">
        <f t="shared" si="9"/>
        <v>8448</v>
      </c>
      <c r="K49" s="9">
        <f t="shared" si="10"/>
        <v>114048</v>
      </c>
      <c r="L49" s="7" t="s">
        <v>57</v>
      </c>
      <c r="M49" s="7">
        <v>62.4</v>
      </c>
      <c r="N49" s="10">
        <v>0.89300000000000002</v>
      </c>
      <c r="O49" s="7">
        <v>79</v>
      </c>
      <c r="P49" s="7" t="str">
        <f t="shared" si="11"/>
        <v>No</v>
      </c>
      <c r="Q49" s="7" t="str">
        <f>IF(H49&lt;65000,"Band 1 (Junior)",IF(H49&lt;90000,"Band 2 (Mid)",IF(H49&lt;130000,"Band 3 (Senior)",IF(H49&lt;170000,"Band 4 (Lead/Mgr)","Band 5 (Director)"))))</f>
        <v>Band 3 (Senior)</v>
      </c>
      <c r="R49" s="11" t="s">
        <v>47</v>
      </c>
    </row>
    <row r="50" spans="1:18" ht="15" customHeight="1" x14ac:dyDescent="0.3">
      <c r="A50" s="2" t="s">
        <v>209</v>
      </c>
      <c r="B50" s="3" t="s">
        <v>210</v>
      </c>
      <c r="C50" s="2" t="s">
        <v>12</v>
      </c>
      <c r="D50" s="2" t="s">
        <v>115</v>
      </c>
      <c r="E50" s="2" t="s">
        <v>79</v>
      </c>
      <c r="F50" s="2" t="s">
        <v>211</v>
      </c>
      <c r="G50" s="2">
        <v>15</v>
      </c>
      <c r="H50" s="4">
        <v>115400</v>
      </c>
      <c r="I50" s="5">
        <f t="shared" si="8"/>
        <v>0.08</v>
      </c>
      <c r="J50" s="4">
        <f t="shared" si="9"/>
        <v>9232</v>
      </c>
      <c r="K50" s="4">
        <f t="shared" si="10"/>
        <v>124632</v>
      </c>
      <c r="L50" s="2" t="s">
        <v>57</v>
      </c>
      <c r="M50" s="2">
        <v>57.3</v>
      </c>
      <c r="N50" s="5">
        <v>0.876</v>
      </c>
      <c r="O50" s="2">
        <v>58</v>
      </c>
      <c r="P50" s="2" t="str">
        <f t="shared" si="11"/>
        <v>No</v>
      </c>
      <c r="Q50" s="43" t="s">
        <v>81</v>
      </c>
      <c r="R50" s="6" t="s">
        <v>47</v>
      </c>
    </row>
    <row r="51" spans="1:18" ht="15" customHeight="1" x14ac:dyDescent="0.3">
      <c r="A51" s="7" t="s">
        <v>212</v>
      </c>
      <c r="B51" s="8" t="s">
        <v>213</v>
      </c>
      <c r="C51" s="7" t="s">
        <v>17</v>
      </c>
      <c r="D51" s="7" t="s">
        <v>95</v>
      </c>
      <c r="E51" s="7" t="s">
        <v>79</v>
      </c>
      <c r="F51" s="7" t="s">
        <v>214</v>
      </c>
      <c r="G51" s="7">
        <v>16</v>
      </c>
      <c r="H51" s="9">
        <v>143400</v>
      </c>
      <c r="I51" s="10">
        <f t="shared" si="8"/>
        <v>0.08</v>
      </c>
      <c r="J51" s="9">
        <f t="shared" si="9"/>
        <v>11472</v>
      </c>
      <c r="K51" s="9">
        <f t="shared" si="10"/>
        <v>154872</v>
      </c>
      <c r="L51" s="7" t="s">
        <v>57</v>
      </c>
      <c r="M51" s="7">
        <v>88.7</v>
      </c>
      <c r="N51" s="10">
        <v>0.81</v>
      </c>
      <c r="O51" s="7">
        <v>28</v>
      </c>
      <c r="P51" s="7" t="str">
        <f t="shared" si="11"/>
        <v>Yes</v>
      </c>
      <c r="Q51" s="7" t="str">
        <f>IF(H51&lt;65000,"Band 1 (Junior)",IF(H51&lt;90000,"Band 2 (Mid)",IF(H51&lt;130000,"Band 3 (Senior)",IF(H51&lt;170000,"Band 4 (Lead/Mgr)","Band 5 (Director)"))))</f>
        <v>Band 4 (Lead/Mgr)</v>
      </c>
      <c r="R51" s="12" t="s">
        <v>72</v>
      </c>
    </row>
    <row r="52" spans="1:18" ht="15" customHeight="1" x14ac:dyDescent="0.3">
      <c r="A52" s="2" t="s">
        <v>215</v>
      </c>
      <c r="B52" s="3" t="s">
        <v>216</v>
      </c>
      <c r="C52" s="2" t="s">
        <v>13</v>
      </c>
      <c r="D52" s="2" t="s">
        <v>125</v>
      </c>
      <c r="E52" s="2" t="s">
        <v>65</v>
      </c>
      <c r="F52" s="2" t="s">
        <v>217</v>
      </c>
      <c r="G52" s="2">
        <v>1</v>
      </c>
      <c r="H52" s="4">
        <v>164000</v>
      </c>
      <c r="I52" s="5">
        <f t="shared" si="8"/>
        <v>0.15</v>
      </c>
      <c r="J52" s="4">
        <f t="shared" si="9"/>
        <v>24600</v>
      </c>
      <c r="K52" s="4">
        <f t="shared" si="10"/>
        <v>188600</v>
      </c>
      <c r="L52" s="2" t="s">
        <v>97</v>
      </c>
      <c r="M52" s="2">
        <v>61.9</v>
      </c>
      <c r="N52" s="5">
        <v>0.82499999999999996</v>
      </c>
      <c r="O52" s="2">
        <v>72</v>
      </c>
      <c r="P52" s="2" t="str">
        <f t="shared" si="11"/>
        <v>No</v>
      </c>
      <c r="Q52" s="2" t="str">
        <f>IF(H52&lt;65000,"Band 1 (Junior)",IF(H52&lt;90000,"Band 2 (Mid)",IF(H52&lt;130000,"Band 3 (Senior)",IF(H52&lt;170000,"Band 4 (Lead/Mgr)","Band 5 (Director)"))))</f>
        <v>Band 4 (Lead/Mgr)</v>
      </c>
      <c r="R52" s="6" t="s">
        <v>47</v>
      </c>
    </row>
    <row r="53" spans="1:18" ht="15" customHeight="1" x14ac:dyDescent="0.3">
      <c r="A53" s="7" t="s">
        <v>218</v>
      </c>
      <c r="B53" s="8" t="s">
        <v>219</v>
      </c>
      <c r="C53" s="7" t="s">
        <v>19</v>
      </c>
      <c r="D53" s="7" t="s">
        <v>220</v>
      </c>
      <c r="E53" s="7" t="s">
        <v>65</v>
      </c>
      <c r="F53" s="7" t="s">
        <v>221</v>
      </c>
      <c r="G53" s="7">
        <v>4</v>
      </c>
      <c r="H53" s="9">
        <v>192400</v>
      </c>
      <c r="I53" s="10">
        <f t="shared" si="8"/>
        <v>0.15</v>
      </c>
      <c r="J53" s="9">
        <f t="shared" si="9"/>
        <v>28860</v>
      </c>
      <c r="K53" s="9">
        <f t="shared" si="10"/>
        <v>221260</v>
      </c>
      <c r="L53" s="7" t="s">
        <v>97</v>
      </c>
      <c r="M53" s="7">
        <v>98.4</v>
      </c>
      <c r="N53" s="10">
        <v>0.82199999999999995</v>
      </c>
      <c r="O53" s="7">
        <v>39</v>
      </c>
      <c r="P53" s="7" t="str">
        <f t="shared" si="11"/>
        <v>Yes</v>
      </c>
      <c r="Q53" s="7" t="str">
        <f>IF(H53&lt;65000,"Band 1 (Junior)",IF(H53&lt;90000,"Band 2 (Mid)",IF(H53&lt;130000,"Band 3 (Senior)",IF(H53&lt;170000,"Band 4 (Lead/Mgr)","Band 5 (Director)"))))</f>
        <v>Band 5 (Director)</v>
      </c>
      <c r="R53" s="11" t="s">
        <v>47</v>
      </c>
    </row>
  </sheetData>
  <mergeCells count="2">
    <mergeCell ref="A2:R2"/>
    <mergeCell ref="A1:R1"/>
  </mergeCells>
  <conditionalFormatting sqref="M4:M5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4:N5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5623"/>
  </sheetPr>
  <dimension ref="A1:J14"/>
  <sheetViews>
    <sheetView showGridLines="0" zoomScale="61" zoomScaleNormal="100" workbookViewId="0">
      <selection activeCell="O2" sqref="O2"/>
    </sheetView>
  </sheetViews>
  <sheetFormatPr defaultColWidth="8.6640625" defaultRowHeight="14.4" x14ac:dyDescent="0.3"/>
  <cols>
    <col min="1" max="1" width="16" customWidth="1"/>
    <col min="2" max="10" width="18" customWidth="1"/>
  </cols>
  <sheetData>
    <row r="1" spans="1:10" ht="33.75" customHeight="1" x14ac:dyDescent="0.3">
      <c r="A1" s="45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15" customHeight="1" x14ac:dyDescent="0.3">
      <c r="A2" s="47" t="s">
        <v>1</v>
      </c>
      <c r="B2" s="46"/>
      <c r="C2" s="46"/>
      <c r="D2" s="46"/>
      <c r="E2" s="46"/>
      <c r="F2" s="46"/>
      <c r="G2" s="46"/>
      <c r="H2" s="46"/>
      <c r="I2" s="46"/>
      <c r="J2" s="46"/>
    </row>
    <row r="3" spans="1:10" ht="36" customHeight="1" x14ac:dyDescent="0.3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  <c r="I3" s="16" t="s">
        <v>10</v>
      </c>
      <c r="J3" s="16" t="s">
        <v>11</v>
      </c>
    </row>
    <row r="4" spans="1:10" ht="15" customHeight="1" x14ac:dyDescent="0.3">
      <c r="A4" s="17" t="s">
        <v>12</v>
      </c>
      <c r="B4" s="18">
        <f>COUNTIF('Employee Database'!C4:C53,A4)</f>
        <v>6</v>
      </c>
      <c r="C4" s="19">
        <f>AVERAGEIF('Employee Database'!C4:C53,A4,'Employee Database'!H4:H53)</f>
        <v>112900</v>
      </c>
      <c r="D4" s="19">
        <f>SUMIF('Employee Database'!C4:C53,A4,'Employee Database'!H4:H53)</f>
        <v>677400</v>
      </c>
      <c r="E4" s="20">
        <f>AVERAGEIF('Employee Database'!C4:C53,A4,'Employee Database'!I4:I53)</f>
        <v>9.0000000000000011E-2</v>
      </c>
      <c r="F4" s="19">
        <f>SUMIF('Employee Database'!C4:C53,A4,'Employee Database'!J4:J53)</f>
        <v>70992</v>
      </c>
      <c r="G4" s="19">
        <f>SUMIF('Employee Database'!C4:C53,A4,'Employee Database'!K4:K53)</f>
        <v>748392</v>
      </c>
      <c r="H4" s="21">
        <f>AVERAGEIF('Employee Database'!C4:C53,A4,'Employee Database'!M4:M53)</f>
        <v>73.86666666666666</v>
      </c>
      <c r="I4" s="20">
        <f>AVERAGEIF('Employee Database'!C4:C53,A4,'Employee Database'!N4:N53)</f>
        <v>0.89066666666666672</v>
      </c>
      <c r="J4" s="18">
        <f>SUMPRODUCT(('Employee Database'!C4:C53=A4)*('Employee Database'!P4:P53="Yes"))</f>
        <v>1</v>
      </c>
    </row>
    <row r="5" spans="1:10" ht="15" customHeight="1" x14ac:dyDescent="0.3">
      <c r="A5" s="22" t="s">
        <v>13</v>
      </c>
      <c r="B5" s="23">
        <f>COUNTIF('Employee Database'!C4:C53,A5)</f>
        <v>6</v>
      </c>
      <c r="C5" s="24">
        <f>AVERAGEIF('Employee Database'!C4:C53,A5,'Employee Database'!H4:H53)</f>
        <v>130250</v>
      </c>
      <c r="D5" s="24">
        <f>SUMIF('Employee Database'!C4:C53,A5,'Employee Database'!H4:H53)</f>
        <v>781500</v>
      </c>
      <c r="E5" s="25">
        <f>AVERAGEIF('Employee Database'!C4:C53,A5,'Employee Database'!I4:I53)</f>
        <v>9.1666666666666674E-2</v>
      </c>
      <c r="F5" s="24">
        <f>SUMIF('Employee Database'!C4:C53,A5,'Employee Database'!J4:J53)</f>
        <v>62462</v>
      </c>
      <c r="G5" s="24">
        <f>SUMIF('Employee Database'!C4:C53,A5,'Employee Database'!K4:K53)</f>
        <v>843962</v>
      </c>
      <c r="H5" s="26">
        <f>AVERAGEIF('Employee Database'!C4:C53,A5,'Employee Database'!M4:M53)</f>
        <v>79.25</v>
      </c>
      <c r="I5" s="25">
        <f>AVERAGEIF('Employee Database'!C4:C53,A5,'Employee Database'!N4:N53)</f>
        <v>0.89950000000000008</v>
      </c>
      <c r="J5" s="23">
        <f>SUMPRODUCT(('Employee Database'!C4:C53=A5)*('Employee Database'!P4:P53="Yes"))</f>
        <v>1</v>
      </c>
    </row>
    <row r="6" spans="1:10" ht="15" customHeight="1" x14ac:dyDescent="0.3">
      <c r="A6" s="17" t="s">
        <v>14</v>
      </c>
      <c r="B6" s="18">
        <f>COUNTIF('Employee Database'!C4:C53,A6)</f>
        <v>5</v>
      </c>
      <c r="C6" s="19">
        <f>AVERAGEIF('Employee Database'!C4:C53,A6,'Employee Database'!H4:H53)</f>
        <v>160820</v>
      </c>
      <c r="D6" s="19">
        <f>SUMIF('Employee Database'!C4:C53,A6,'Employee Database'!H4:H53)</f>
        <v>804100</v>
      </c>
      <c r="E6" s="20">
        <f>AVERAGEIF('Employee Database'!C4:C53,A6,'Employee Database'!I4:I53)</f>
        <v>0.11799999999999999</v>
      </c>
      <c r="F6" s="19">
        <f>SUMIF('Employee Database'!C4:C53,A6,'Employee Database'!J4:J53)</f>
        <v>97030</v>
      </c>
      <c r="G6" s="19">
        <f>SUMIF('Employee Database'!C4:C53,A6,'Employee Database'!K4:K53)</f>
        <v>901130</v>
      </c>
      <c r="H6" s="21">
        <f>AVERAGEIF('Employee Database'!C4:C53,A6,'Employee Database'!M4:M53)</f>
        <v>64.919999999999987</v>
      </c>
      <c r="I6" s="20">
        <f>AVERAGEIF('Employee Database'!C4:C53,A6,'Employee Database'!N4:N53)</f>
        <v>0.95479999999999998</v>
      </c>
      <c r="J6" s="18">
        <f>SUMPRODUCT(('Employee Database'!C4:C53=A6)*('Employee Database'!P4:P53="Yes"))</f>
        <v>0</v>
      </c>
    </row>
    <row r="7" spans="1:10" ht="15" customHeight="1" x14ac:dyDescent="0.3">
      <c r="A7" s="22" t="s">
        <v>15</v>
      </c>
      <c r="B7" s="23">
        <f>COUNTIF('Employee Database'!C4:C53,A7)</f>
        <v>12</v>
      </c>
      <c r="C7" s="24">
        <f>AVERAGEIF('Employee Database'!C4:C53,A7,'Employee Database'!H4:H53)</f>
        <v>114825</v>
      </c>
      <c r="D7" s="24">
        <f>SUMIF('Employee Database'!C4:C53,A7,'Employee Database'!H4:H53)</f>
        <v>1377900</v>
      </c>
      <c r="E7" s="25">
        <f>AVERAGEIF('Employee Database'!C4:C53,A7,'Employee Database'!I4:I53)</f>
        <v>0.13083333333333333</v>
      </c>
      <c r="F7" s="24">
        <f>SUMIF('Employee Database'!C4:C53,A7,'Employee Database'!J4:J53)</f>
        <v>174738</v>
      </c>
      <c r="G7" s="24">
        <f>SUMIF('Employee Database'!C4:C53,A7,'Employee Database'!K4:K53)</f>
        <v>1552638</v>
      </c>
      <c r="H7" s="26">
        <f>AVERAGEIF('Employee Database'!C4:C53,A7,'Employee Database'!M4:M53)</f>
        <v>70.699999999999989</v>
      </c>
      <c r="I7" s="25">
        <f>AVERAGEIF('Employee Database'!C4:C53,A7,'Employee Database'!N4:N53)</f>
        <v>0.90341666666666676</v>
      </c>
      <c r="J7" s="23">
        <f>SUMPRODUCT(('Employee Database'!C4:C53=A7)*('Employee Database'!P4:P53="Yes"))</f>
        <v>1</v>
      </c>
    </row>
    <row r="8" spans="1:10" ht="15" customHeight="1" x14ac:dyDescent="0.3">
      <c r="A8" s="17" t="s">
        <v>16</v>
      </c>
      <c r="B8" s="18">
        <f>COUNTIF('Employee Database'!C4:C53,A8)</f>
        <v>5</v>
      </c>
      <c r="C8" s="19">
        <f>AVERAGEIF('Employee Database'!C4:C53,A8,'Employee Database'!H4:H53)</f>
        <v>95580</v>
      </c>
      <c r="D8" s="19">
        <f>SUMIF('Employee Database'!C4:C53,A8,'Employee Database'!H4:H53)</f>
        <v>477900</v>
      </c>
      <c r="E8" s="20">
        <f>AVERAGEIF('Employee Database'!C4:C53,A8,'Employee Database'!I4:I53)</f>
        <v>0.14000000000000001</v>
      </c>
      <c r="F8" s="19">
        <f>SUMIF('Employee Database'!C4:C53,A8,'Employee Database'!J4:J53)</f>
        <v>67746</v>
      </c>
      <c r="G8" s="19">
        <f>SUMIF('Employee Database'!C4:C53,A8,'Employee Database'!K4:K53)</f>
        <v>545646</v>
      </c>
      <c r="H8" s="21">
        <f>AVERAGEIF('Employee Database'!C4:C53,A8,'Employee Database'!M4:M53)</f>
        <v>72.72</v>
      </c>
      <c r="I8" s="20">
        <f>AVERAGEIF('Employee Database'!C4:C53,A8,'Employee Database'!N4:N53)</f>
        <v>0.86419999999999997</v>
      </c>
      <c r="J8" s="18">
        <f>SUMPRODUCT(('Employee Database'!C4:C53=A8)*('Employee Database'!P4:P53="Yes"))</f>
        <v>1</v>
      </c>
    </row>
    <row r="9" spans="1:10" ht="15" customHeight="1" x14ac:dyDescent="0.3">
      <c r="A9" s="22" t="s">
        <v>17</v>
      </c>
      <c r="B9" s="23">
        <f>COUNTIF('Employee Database'!C4:C53,A9)</f>
        <v>6</v>
      </c>
      <c r="C9" s="24">
        <f>AVERAGEIF('Employee Database'!C4:C53,A9,'Employee Database'!H4:H53)</f>
        <v>104050</v>
      </c>
      <c r="D9" s="24">
        <f>SUMIF('Employee Database'!C4:C53,A9,'Employee Database'!H4:H53)</f>
        <v>624300</v>
      </c>
      <c r="E9" s="25">
        <f>AVERAGEIF('Employee Database'!C4:C53,A9,'Employee Database'!I4:I53)</f>
        <v>9.3333333333333338E-2</v>
      </c>
      <c r="F9" s="24">
        <f>SUMIF('Employee Database'!C4:C53,A9,'Employee Database'!J4:J53)</f>
        <v>51858</v>
      </c>
      <c r="G9" s="24">
        <f>SUMIF('Employee Database'!C4:C53,A9,'Employee Database'!K4:K53)</f>
        <v>676158</v>
      </c>
      <c r="H9" s="26">
        <f>AVERAGEIF('Employee Database'!C4:C53,A9,'Employee Database'!M4:M53)</f>
        <v>87.716666666666683</v>
      </c>
      <c r="I9" s="25">
        <f>AVERAGEIF('Employee Database'!C4:C53,A9,'Employee Database'!N4:N53)</f>
        <v>0.86649999999999994</v>
      </c>
      <c r="J9" s="23">
        <f>SUMPRODUCT(('Employee Database'!C4:C53=A9)*('Employee Database'!P4:P53="Yes"))</f>
        <v>5</v>
      </c>
    </row>
    <row r="10" spans="1:10" ht="15" customHeight="1" x14ac:dyDescent="0.3">
      <c r="A10" s="17" t="s">
        <v>18</v>
      </c>
      <c r="B10" s="18">
        <f>COUNTIF('Employee Database'!C4:C53,A10)</f>
        <v>6</v>
      </c>
      <c r="C10" s="19">
        <f>AVERAGEIF('Employee Database'!C4:C53,A10,'Employee Database'!H4:H53)</f>
        <v>153266.66666666666</v>
      </c>
      <c r="D10" s="19">
        <f>SUMIF('Employee Database'!C4:C53,A10,'Employee Database'!H4:H53)</f>
        <v>919600</v>
      </c>
      <c r="E10" s="20">
        <f>AVERAGEIF('Employee Database'!C4:C53,A10,'Employee Database'!I4:I53)</f>
        <v>0.12</v>
      </c>
      <c r="F10" s="19">
        <f>SUMIF('Employee Database'!C4:C53,A10,'Employee Database'!J4:J53)</f>
        <v>108602</v>
      </c>
      <c r="G10" s="19">
        <f>SUMIF('Employee Database'!C4:C53,A10,'Employee Database'!K4:K53)</f>
        <v>1028202</v>
      </c>
      <c r="H10" s="21">
        <f>AVERAGEIF('Employee Database'!C4:C53,A10,'Employee Database'!M4:M53)</f>
        <v>75.149999999999991</v>
      </c>
      <c r="I10" s="20">
        <f>AVERAGEIF('Employee Database'!C4:C53,A10,'Employee Database'!N4:N53)</f>
        <v>0.90483333333333327</v>
      </c>
      <c r="J10" s="18">
        <f>SUMPRODUCT(('Employee Database'!C4:C53=A10)*('Employee Database'!P4:P53="Yes"))</f>
        <v>1</v>
      </c>
    </row>
    <row r="11" spans="1:10" ht="15" customHeight="1" x14ac:dyDescent="0.3">
      <c r="A11" s="22" t="s">
        <v>19</v>
      </c>
      <c r="B11" s="23">
        <f>COUNTIF('Employee Database'!C4:C53,A11)</f>
        <v>4</v>
      </c>
      <c r="C11" s="24">
        <f>AVERAGEIF('Employee Database'!C4:C53,A11,'Employee Database'!H4:H53)</f>
        <v>134750</v>
      </c>
      <c r="D11" s="24">
        <f>SUMIF('Employee Database'!C4:C53,A11,'Employee Database'!H4:H53)</f>
        <v>539000</v>
      </c>
      <c r="E11" s="25">
        <f>AVERAGEIF('Employee Database'!C4:C53,A11,'Employee Database'!I4:I53)</f>
        <v>0.14500000000000002</v>
      </c>
      <c r="F11" s="24">
        <f>SUMIF('Employee Database'!C4:C53,A11,'Employee Database'!J4:J53)</f>
        <v>75178</v>
      </c>
      <c r="G11" s="24">
        <f>SUMIF('Employee Database'!C4:C53,A11,'Employee Database'!K4:K53)</f>
        <v>614178</v>
      </c>
      <c r="H11" s="26">
        <f>AVERAGEIF('Employee Database'!C4:C53,A11,'Employee Database'!M4:M53)</f>
        <v>84.025000000000006</v>
      </c>
      <c r="I11" s="25">
        <f>AVERAGEIF('Employee Database'!C4:C53,A11,'Employee Database'!N4:N53)</f>
        <v>0.89575000000000005</v>
      </c>
      <c r="J11" s="23">
        <f>SUMPRODUCT(('Employee Database'!C4:C53=A11)*('Employee Database'!P4:P53="Yes"))</f>
        <v>2</v>
      </c>
    </row>
    <row r="12" spans="1:10" ht="23.25" customHeight="1" x14ac:dyDescent="0.3">
      <c r="A12" s="27" t="s">
        <v>20</v>
      </c>
      <c r="B12" s="27">
        <f>SUM(B4:B11)</f>
        <v>50</v>
      </c>
      <c r="C12" s="28">
        <f>AVERAGE(C4:C11)</f>
        <v>125805.20833333333</v>
      </c>
      <c r="D12" s="28">
        <f>SUM(D4:D11)</f>
        <v>6201700</v>
      </c>
      <c r="E12" s="29">
        <f>AVERAGE(E4:E11)</f>
        <v>0.11610416666666667</v>
      </c>
      <c r="F12" s="28">
        <f>SUM(F4:F11)</f>
        <v>708606</v>
      </c>
      <c r="G12" s="28">
        <f>SUM(G4:G11)</f>
        <v>6910306</v>
      </c>
      <c r="H12" s="30">
        <f>AVERAGE(H4:H11)</f>
        <v>76.04354166666667</v>
      </c>
      <c r="I12" s="29">
        <f>AVERAGE(I4:I11)</f>
        <v>0.89745833333333347</v>
      </c>
      <c r="J12" s="27">
        <f>SUM(J4:J11)</f>
        <v>12</v>
      </c>
    </row>
    <row r="14" spans="1:10" ht="15" customHeight="1" x14ac:dyDescent="0.3">
      <c r="A14" s="31" t="s">
        <v>21</v>
      </c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9A000"/>
  </sheetPr>
  <dimension ref="A1:L17"/>
  <sheetViews>
    <sheetView showGridLines="0" zoomScaleNormal="100" workbookViewId="0">
      <selection sqref="A1:L1"/>
    </sheetView>
  </sheetViews>
  <sheetFormatPr defaultColWidth="8.6640625" defaultRowHeight="14.4" x14ac:dyDescent="0.3"/>
  <cols>
    <col min="1" max="1" width="22" customWidth="1"/>
    <col min="2" max="2" width="14" customWidth="1"/>
    <col min="3" max="3" width="12" customWidth="1"/>
    <col min="4" max="10" width="16" customWidth="1"/>
  </cols>
  <sheetData>
    <row r="1" spans="1:12" ht="33.75" customHeight="1" x14ac:dyDescent="0.3">
      <c r="A1" s="45" t="s">
        <v>222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</row>
    <row r="3" spans="1:12" ht="15" customHeight="1" x14ac:dyDescent="0.3">
      <c r="A3" s="51" t="s">
        <v>223</v>
      </c>
      <c r="B3" s="52"/>
      <c r="C3" s="52"/>
      <c r="D3" s="52"/>
      <c r="F3" s="50" t="s">
        <v>224</v>
      </c>
      <c r="G3" s="46"/>
      <c r="H3" s="46"/>
      <c r="I3" s="46"/>
      <c r="J3" s="46"/>
    </row>
    <row r="4" spans="1:12" ht="15" customHeight="1" x14ac:dyDescent="0.3">
      <c r="A4" s="1" t="s">
        <v>225</v>
      </c>
      <c r="B4" s="1" t="s">
        <v>226</v>
      </c>
      <c r="C4" s="1" t="s">
        <v>227</v>
      </c>
      <c r="D4" s="1" t="s">
        <v>228</v>
      </c>
      <c r="F4" s="1" t="s">
        <v>27</v>
      </c>
      <c r="G4" s="1" t="s">
        <v>229</v>
      </c>
      <c r="H4" s="1" t="s">
        <v>230</v>
      </c>
      <c r="I4" s="1" t="s">
        <v>231</v>
      </c>
      <c r="J4" s="1" t="s">
        <v>232</v>
      </c>
    </row>
    <row r="5" spans="1:12" ht="15" customHeight="1" x14ac:dyDescent="0.3">
      <c r="A5" s="32" t="s">
        <v>46</v>
      </c>
      <c r="B5" s="33">
        <f>COUNTIF('Employee Database'!L4:L53,A5)</f>
        <v>16</v>
      </c>
      <c r="C5" s="34">
        <f>B5/50</f>
        <v>0.32</v>
      </c>
      <c r="D5" s="35">
        <f>AVERAGEIF('Employee Database'!L4:L53,A5,'Employee Database'!M4:M53)</f>
        <v>76.749999999999986</v>
      </c>
      <c r="F5" s="36" t="s">
        <v>44</v>
      </c>
      <c r="G5" s="18">
        <f>COUNTIF('Employee Database'!E4:E53,F5)</f>
        <v>8</v>
      </c>
      <c r="H5" s="18">
        <f>SUMPRODUCT(('Employee Database'!E4:E53=F5)*('Employee Database'!P4:P53="Yes"))</f>
        <v>2</v>
      </c>
      <c r="I5" s="20">
        <f t="shared" ref="I5:I10" si="0">IF(G5=0,0,H5/G5)</f>
        <v>0.25</v>
      </c>
      <c r="J5" s="19">
        <f>AVERAGEIF('Employee Database'!E4:E53,F5,'Employee Database'!H4:H53)</f>
        <v>55650</v>
      </c>
    </row>
    <row r="6" spans="1:12" ht="15" customHeight="1" x14ac:dyDescent="0.3">
      <c r="A6" s="37" t="s">
        <v>97</v>
      </c>
      <c r="B6" s="38">
        <f>COUNTIF('Employee Database'!L4:L53,A6)</f>
        <v>7</v>
      </c>
      <c r="C6" s="39">
        <f>B6/50</f>
        <v>0.14000000000000001</v>
      </c>
      <c r="D6" s="40">
        <f>AVERAGEIF('Employee Database'!L4:L53,A6,'Employee Database'!M4:M53)</f>
        <v>80.685714285714283</v>
      </c>
      <c r="F6" s="41" t="s">
        <v>85</v>
      </c>
      <c r="G6" s="23">
        <f>COUNTIF('Employee Database'!E4:E53,F6)</f>
        <v>8</v>
      </c>
      <c r="H6" s="23">
        <f>SUMPRODUCT(('Employee Database'!E4:E53=F6)*('Employee Database'!P4:P53="Yes"))</f>
        <v>3</v>
      </c>
      <c r="I6" s="25">
        <f t="shared" si="0"/>
        <v>0.375</v>
      </c>
      <c r="J6" s="24">
        <f>AVERAGEIF('Employee Database'!E4:E53,F6,'Employee Database'!H4:H53)</f>
        <v>79037.5</v>
      </c>
    </row>
    <row r="7" spans="1:12" ht="15" customHeight="1" x14ac:dyDescent="0.3">
      <c r="A7" s="32" t="s">
        <v>57</v>
      </c>
      <c r="B7" s="33">
        <f>COUNTIF('Employee Database'!L4:L53,A7)</f>
        <v>17</v>
      </c>
      <c r="C7" s="34">
        <f>B7/50</f>
        <v>0.34</v>
      </c>
      <c r="D7" s="35">
        <f>AVERAGEIF('Employee Database'!L4:L53,A7,'Employee Database'!M4:M53)</f>
        <v>71.464705882352945</v>
      </c>
      <c r="F7" s="36" t="s">
        <v>70</v>
      </c>
      <c r="G7" s="18">
        <f>COUNTIF('Employee Database'!E4:E53,F7)</f>
        <v>6</v>
      </c>
      <c r="H7" s="18">
        <f>SUMPRODUCT(('Employee Database'!E4:E53=F7)*('Employee Database'!P4:P53="Yes"))</f>
        <v>0</v>
      </c>
      <c r="I7" s="20">
        <f t="shared" si="0"/>
        <v>0</v>
      </c>
      <c r="J7" s="19">
        <f>AVERAGEIF('Employee Database'!E4:E53,F7,'Employee Database'!H4:H53)</f>
        <v>112866.66666666667</v>
      </c>
    </row>
    <row r="8" spans="1:12" ht="15" customHeight="1" x14ac:dyDescent="0.3">
      <c r="A8" s="37" t="s">
        <v>52</v>
      </c>
      <c r="B8" s="38">
        <f>COUNTIF('Employee Database'!L4:L53,A8)</f>
        <v>10</v>
      </c>
      <c r="C8" s="39">
        <f>B8/50</f>
        <v>0.2</v>
      </c>
      <c r="D8" s="40">
        <f>AVERAGEIF('Employee Database'!L4:L53,A8,'Employee Database'!M4:M53)</f>
        <v>76.09</v>
      </c>
      <c r="F8" s="41" t="s">
        <v>79</v>
      </c>
      <c r="G8" s="23">
        <f>COUNTIF('Employee Database'!E4:E53,F8)</f>
        <v>10</v>
      </c>
      <c r="H8" s="23">
        <f>SUMPRODUCT(('Employee Database'!E4:E53=F8)*('Employee Database'!P4:P53="Yes"))</f>
        <v>3</v>
      </c>
      <c r="I8" s="25">
        <f t="shared" si="0"/>
        <v>0.3</v>
      </c>
      <c r="J8" s="24">
        <f>AVERAGEIF('Employee Database'!E4:E53,F8,'Employee Database'!H4:H53)</f>
        <v>131950</v>
      </c>
    </row>
    <row r="9" spans="1:12" ht="15" customHeight="1" x14ac:dyDescent="0.3">
      <c r="A9" s="27" t="s">
        <v>229</v>
      </c>
      <c r="B9" s="27">
        <f>SUM(B5:B8)</f>
        <v>50</v>
      </c>
      <c r="C9" s="29">
        <f>SUM(C5:C8)</f>
        <v>1</v>
      </c>
      <c r="D9" s="30">
        <f>AVERAGE('Employee Database'!M4:M53)</f>
        <v>75.371999999999986</v>
      </c>
      <c r="F9" s="36" t="s">
        <v>90</v>
      </c>
      <c r="G9" s="18">
        <f>COUNTIF('Employee Database'!E4:E53,F9)</f>
        <v>8</v>
      </c>
      <c r="H9" s="18">
        <f>SUMPRODUCT(('Employee Database'!E4:E53=F9)*('Employee Database'!P4:P53="Yes"))</f>
        <v>3</v>
      </c>
      <c r="I9" s="20">
        <f t="shared" si="0"/>
        <v>0.375</v>
      </c>
      <c r="J9" s="19">
        <f>AVERAGEIF('Employee Database'!E4:E53,F9,'Employee Database'!H4:H53)</f>
        <v>153887.5</v>
      </c>
    </row>
    <row r="10" spans="1:12" ht="15" customHeight="1" x14ac:dyDescent="0.3">
      <c r="F10" s="41" t="s">
        <v>65</v>
      </c>
      <c r="G10" s="23">
        <f>COUNTIF('Employee Database'!E4:E53,F10)</f>
        <v>10</v>
      </c>
      <c r="H10" s="23">
        <f>SUMPRODUCT(('Employee Database'!E4:E53=F10)*('Employee Database'!P4:P53="Yes"))</f>
        <v>1</v>
      </c>
      <c r="I10" s="25">
        <f t="shared" si="0"/>
        <v>0.1</v>
      </c>
      <c r="J10" s="24">
        <f>AVERAGEIF('Employee Database'!E4:E53,F10,'Employee Database'!H4:H53)</f>
        <v>189640</v>
      </c>
    </row>
    <row r="12" spans="1:12" ht="15" customHeight="1" x14ac:dyDescent="0.3">
      <c r="A12" s="50" t="s">
        <v>233</v>
      </c>
      <c r="B12" s="46"/>
      <c r="C12" s="46"/>
      <c r="D12" s="46"/>
    </row>
    <row r="13" spans="1:12" ht="23.25" customHeight="1" x14ac:dyDescent="0.3">
      <c r="A13" s="1" t="s">
        <v>234</v>
      </c>
      <c r="B13" s="1" t="s">
        <v>235</v>
      </c>
      <c r="C13" s="1" t="s">
        <v>236</v>
      </c>
      <c r="D13" s="1" t="s">
        <v>237</v>
      </c>
    </row>
    <row r="14" spans="1:12" ht="15" customHeight="1" x14ac:dyDescent="0.3">
      <c r="A14" s="36" t="s">
        <v>238</v>
      </c>
      <c r="B14" s="18">
        <f>COUNTIF('Employee Database'!M4:M53,"&gt;=90")</f>
        <v>7</v>
      </c>
      <c r="C14" s="20">
        <f>B14/50</f>
        <v>0.14000000000000001</v>
      </c>
      <c r="D14" s="19">
        <f>AVERAGEIFS('Employee Database'!K4:K53,'Employee Database'!M4:M53,"&gt;=90")</f>
        <v>178748.28571428571</v>
      </c>
    </row>
    <row r="15" spans="1:12" ht="15" customHeight="1" x14ac:dyDescent="0.3">
      <c r="A15" s="41" t="s">
        <v>239</v>
      </c>
      <c r="B15" s="23">
        <f>COUNTIFS('Employee Database'!M4:M53,"&gt;=80",'Employee Database'!M4:M53,"&lt;90")</f>
        <v>12</v>
      </c>
      <c r="C15" s="25">
        <f>B15/50</f>
        <v>0.24</v>
      </c>
      <c r="D15" s="24">
        <f>AVERAGEIFS('Employee Database'!K4:K53,'Employee Database'!M4:M53,"&gt;=80",'Employee Database'!M4:M53,"&lt;90")</f>
        <v>115694.5</v>
      </c>
    </row>
    <row r="16" spans="1:12" ht="15" customHeight="1" x14ac:dyDescent="0.3">
      <c r="A16" s="36" t="s">
        <v>240</v>
      </c>
      <c r="B16" s="18">
        <f>COUNTIFS('Employee Database'!M4:M53,"&gt;=70",'Employee Database'!M4:M53,"&lt;80")</f>
        <v>9</v>
      </c>
      <c r="C16" s="20">
        <f>B16/50</f>
        <v>0.18</v>
      </c>
      <c r="D16" s="19">
        <f>AVERAGEIFS('Employee Database'!K4:K53,'Employee Database'!M4:M53,"&gt;=70",'Employee Database'!M4:M53,"&lt;80")</f>
        <v>130667.77777777778</v>
      </c>
    </row>
    <row r="17" spans="1:4" ht="15" customHeight="1" x14ac:dyDescent="0.3">
      <c r="A17" s="41" t="s">
        <v>241</v>
      </c>
      <c r="B17" s="23">
        <f>COUNTIF('Employee Database'!M4:M53,"&lt;70")</f>
        <v>22</v>
      </c>
      <c r="C17" s="25">
        <f>B17/50</f>
        <v>0.44</v>
      </c>
      <c r="D17" s="24">
        <f>AVERAGEIFS('Employee Database'!K4:K53,'Employee Database'!M4:M53,"&lt;70")</f>
        <v>140669.27272727274</v>
      </c>
    </row>
  </sheetData>
  <mergeCells count="4">
    <mergeCell ref="A1:L1"/>
    <mergeCell ref="A12:D12"/>
    <mergeCell ref="F3:J3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864"/>
  </sheetPr>
  <dimension ref="A1:N26"/>
  <sheetViews>
    <sheetView showGridLines="0" topLeftCell="D1" zoomScale="76" zoomScaleNormal="100" workbookViewId="0">
      <selection sqref="A1:N1"/>
    </sheetView>
  </sheetViews>
  <sheetFormatPr defaultColWidth="8.6640625" defaultRowHeight="14.4" x14ac:dyDescent="0.3"/>
  <cols>
    <col min="1" max="9" width="18" customWidth="1"/>
  </cols>
  <sheetData>
    <row r="1" spans="1:14" ht="42" customHeight="1" x14ac:dyDescent="0.3">
      <c r="A1" s="56" t="s">
        <v>265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5" customHeight="1" x14ac:dyDescent="0.3">
      <c r="A2" s="66" t="s">
        <v>266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4" spans="1:14" ht="19.5" customHeight="1" x14ac:dyDescent="0.3">
      <c r="A4" s="64" t="s">
        <v>267</v>
      </c>
      <c r="B4" s="52"/>
      <c r="C4" s="57" t="s">
        <v>9</v>
      </c>
      <c r="D4" s="52"/>
      <c r="E4" s="58" t="s">
        <v>5</v>
      </c>
      <c r="F4" s="52"/>
      <c r="G4" s="70" t="s">
        <v>8</v>
      </c>
      <c r="H4" s="52"/>
    </row>
    <row r="5" spans="1:14" ht="19.5" customHeight="1" x14ac:dyDescent="0.3">
      <c r="A5" s="62">
        <f>COUNTA('Employee Database'!A4:A53)</f>
        <v>50</v>
      </c>
      <c r="B5" s="54"/>
      <c r="C5" s="68">
        <f>AVERAGE('Employee Database'!M4:M53)</f>
        <v>75.371999999999986</v>
      </c>
      <c r="D5" s="54"/>
      <c r="E5" s="72">
        <f>SUM('Employee Database'!H4:H53)</f>
        <v>6201700</v>
      </c>
      <c r="F5" s="54"/>
      <c r="G5" s="53">
        <f>SUM('Employee Database'!K4:K53)</f>
        <v>6910306</v>
      </c>
      <c r="H5" s="54"/>
    </row>
    <row r="6" spans="1:14" ht="19.5" customHeight="1" x14ac:dyDescent="0.3">
      <c r="A6" s="55"/>
      <c r="B6" s="46"/>
      <c r="C6" s="55"/>
      <c r="D6" s="46"/>
      <c r="E6" s="55"/>
      <c r="F6" s="46"/>
      <c r="G6" s="55"/>
      <c r="H6" s="46"/>
    </row>
    <row r="7" spans="1:14" ht="19.5" customHeight="1" x14ac:dyDescent="0.3">
      <c r="A7" s="55"/>
      <c r="B7" s="46"/>
      <c r="C7" s="55"/>
      <c r="D7" s="46"/>
      <c r="E7" s="55"/>
      <c r="F7" s="46"/>
      <c r="G7" s="55"/>
      <c r="H7" s="46"/>
    </row>
    <row r="8" spans="1:14" ht="19.5" customHeight="1" x14ac:dyDescent="0.3">
      <c r="A8" s="55"/>
      <c r="B8" s="46"/>
      <c r="C8" s="55"/>
      <c r="D8" s="46"/>
      <c r="E8" s="55"/>
      <c r="F8" s="46"/>
      <c r="G8" s="55"/>
      <c r="H8" s="46"/>
    </row>
    <row r="9" spans="1:14" ht="19.5" customHeight="1" x14ac:dyDescent="0.3">
      <c r="A9" s="42"/>
      <c r="B9" s="42"/>
      <c r="C9" s="42"/>
      <c r="D9" s="42"/>
      <c r="E9" s="42"/>
      <c r="F9" s="42"/>
      <c r="G9" s="42"/>
      <c r="H9" s="42"/>
    </row>
    <row r="10" spans="1:14" ht="19.5" customHeight="1" x14ac:dyDescent="0.3">
      <c r="A10" s="73" t="s">
        <v>255</v>
      </c>
      <c r="B10" s="52"/>
      <c r="C10" s="60" t="s">
        <v>10</v>
      </c>
      <c r="D10" s="52"/>
      <c r="E10" s="63" t="s">
        <v>268</v>
      </c>
      <c r="F10" s="52"/>
      <c r="G10" s="64" t="s">
        <v>237</v>
      </c>
      <c r="H10" s="52"/>
    </row>
    <row r="11" spans="1:14" ht="19.5" customHeight="1" x14ac:dyDescent="0.3">
      <c r="A11" s="71">
        <f>COUNTIF('Employee Database'!P4:P53,"Yes")</f>
        <v>12</v>
      </c>
      <c r="B11" s="54"/>
      <c r="C11" s="59">
        <f>AVERAGE('Employee Database'!N4:N53)</f>
        <v>0.89776000000000011</v>
      </c>
      <c r="D11" s="54"/>
      <c r="E11" s="61">
        <f>COUNTIF('Employee Database'!L4:L53,"Outstanding")</f>
        <v>16</v>
      </c>
      <c r="F11" s="54"/>
      <c r="G11" s="67">
        <f>AVERAGE('Employee Database'!K4:K53)</f>
        <v>138206.12</v>
      </c>
      <c r="H11" s="54"/>
    </row>
    <row r="12" spans="1:14" ht="19.5" customHeight="1" x14ac:dyDescent="0.3">
      <c r="A12" s="55"/>
      <c r="B12" s="46"/>
      <c r="C12" s="55"/>
      <c r="D12" s="46"/>
      <c r="E12" s="55"/>
      <c r="F12" s="46"/>
      <c r="G12" s="55"/>
      <c r="H12" s="46"/>
    </row>
    <row r="13" spans="1:14" ht="19.5" customHeight="1" x14ac:dyDescent="0.3">
      <c r="A13" s="55"/>
      <c r="B13" s="46"/>
      <c r="C13" s="55"/>
      <c r="D13" s="46"/>
      <c r="E13" s="55"/>
      <c r="F13" s="46"/>
      <c r="G13" s="55"/>
      <c r="H13" s="46"/>
    </row>
    <row r="14" spans="1:14" ht="19.5" customHeight="1" x14ac:dyDescent="0.3">
      <c r="A14" s="55"/>
      <c r="B14" s="46"/>
      <c r="C14" s="55"/>
      <c r="D14" s="46"/>
      <c r="E14" s="55"/>
      <c r="F14" s="46"/>
      <c r="G14" s="55"/>
      <c r="H14" s="46"/>
    </row>
    <row r="15" spans="1:14" ht="19.5" customHeight="1" x14ac:dyDescent="0.3">
      <c r="A15" s="42"/>
      <c r="B15" s="42"/>
      <c r="C15" s="42"/>
      <c r="D15" s="42"/>
      <c r="E15" s="42"/>
      <c r="F15" s="42"/>
      <c r="G15" s="42"/>
      <c r="H15" s="42"/>
    </row>
    <row r="16" spans="1:14" ht="6" customHeight="1" x14ac:dyDescent="0.3">
      <c r="A16" s="65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</row>
    <row r="17" spans="1:8" ht="15" customHeight="1" x14ac:dyDescent="0.3">
      <c r="A17" s="69" t="s">
        <v>269</v>
      </c>
      <c r="B17" s="46"/>
      <c r="C17" s="46"/>
      <c r="D17" s="46"/>
      <c r="E17" s="46"/>
      <c r="F17" s="46"/>
      <c r="G17" s="46"/>
      <c r="H17" s="46"/>
    </row>
    <row r="18" spans="1:8" ht="15" customHeight="1" x14ac:dyDescent="0.3">
      <c r="A18" s="1" t="s">
        <v>2</v>
      </c>
      <c r="B18" s="1" t="s">
        <v>3</v>
      </c>
      <c r="C18" s="1" t="s">
        <v>228</v>
      </c>
      <c r="D18" s="1" t="s">
        <v>254</v>
      </c>
      <c r="E18" s="1" t="s">
        <v>33</v>
      </c>
      <c r="F18" s="1" t="s">
        <v>270</v>
      </c>
    </row>
    <row r="19" spans="1:8" ht="15" customHeight="1" x14ac:dyDescent="0.3">
      <c r="A19" s="36" t="s">
        <v>12</v>
      </c>
      <c r="B19" s="18">
        <f>COUNTIF('Employee Database'!C4:C53,A19)</f>
        <v>6</v>
      </c>
      <c r="C19" s="21">
        <f>AVERAGEIF('Employee Database'!C4:C53,A19,'Employee Database'!M4:M53)</f>
        <v>73.86666666666666</v>
      </c>
      <c r="D19" s="20">
        <f>AVERAGEIF('Employee Database'!C4:C53,A19,'Employee Database'!N4:N53)</f>
        <v>0.89066666666666672</v>
      </c>
      <c r="E19" s="19">
        <f>SUMIF('Employee Database'!C4:C53,A19,'Employee Database'!K4:K53)</f>
        <v>748392</v>
      </c>
      <c r="F19" s="18">
        <f>SUMPRODUCT(('Employee Database'!C4:C53=A19)*('Employee Database'!P4:P53="Yes"))</f>
        <v>1</v>
      </c>
    </row>
    <row r="20" spans="1:8" ht="15" customHeight="1" x14ac:dyDescent="0.3">
      <c r="A20" s="41" t="s">
        <v>13</v>
      </c>
      <c r="B20" s="23">
        <f>COUNTIF('Employee Database'!C4:C53,A20)</f>
        <v>6</v>
      </c>
      <c r="C20" s="26">
        <f>AVERAGEIF('Employee Database'!C4:C53,A20,'Employee Database'!M4:M53)</f>
        <v>79.25</v>
      </c>
      <c r="D20" s="25">
        <f>AVERAGEIF('Employee Database'!C4:C53,A20,'Employee Database'!N4:N53)</f>
        <v>0.89950000000000008</v>
      </c>
      <c r="E20" s="24">
        <f>SUMIF('Employee Database'!C4:C53,A20,'Employee Database'!K4:K53)</f>
        <v>843962</v>
      </c>
      <c r="F20" s="23">
        <f>SUMPRODUCT(('Employee Database'!C4:C53=A20)*('Employee Database'!P4:P53="Yes"))</f>
        <v>1</v>
      </c>
    </row>
    <row r="21" spans="1:8" ht="15" customHeight="1" x14ac:dyDescent="0.3">
      <c r="A21" s="36" t="s">
        <v>14</v>
      </c>
      <c r="B21" s="18">
        <f>COUNTIF('Employee Database'!C4:C53,A21)</f>
        <v>5</v>
      </c>
      <c r="C21" s="21">
        <f>AVERAGEIF('Employee Database'!C4:C53,A21,'Employee Database'!M4:M53)</f>
        <v>64.919999999999987</v>
      </c>
      <c r="D21" s="20">
        <f>AVERAGEIF('Employee Database'!C4:C53,A21,'Employee Database'!N4:N53)</f>
        <v>0.95479999999999998</v>
      </c>
      <c r="E21" s="19">
        <f>SUMIF('Employee Database'!C4:C53,A21,'Employee Database'!K4:K53)</f>
        <v>901130</v>
      </c>
      <c r="F21" s="18">
        <f>SUMPRODUCT(('Employee Database'!C4:C53=A21)*('Employee Database'!P4:P53="Yes"))</f>
        <v>0</v>
      </c>
    </row>
    <row r="22" spans="1:8" ht="15" customHeight="1" x14ac:dyDescent="0.3">
      <c r="A22" s="41" t="s">
        <v>15</v>
      </c>
      <c r="B22" s="23">
        <f>COUNTIF('Employee Database'!C4:C53,A22)</f>
        <v>12</v>
      </c>
      <c r="C22" s="26">
        <f>AVERAGEIF('Employee Database'!C4:C53,A22,'Employee Database'!M4:M53)</f>
        <v>70.699999999999989</v>
      </c>
      <c r="D22" s="25">
        <f>AVERAGEIF('Employee Database'!C4:C53,A22,'Employee Database'!N4:N53)</f>
        <v>0.90341666666666676</v>
      </c>
      <c r="E22" s="24">
        <f>SUMIF('Employee Database'!C4:C53,A22,'Employee Database'!K4:K53)</f>
        <v>1552638</v>
      </c>
      <c r="F22" s="23">
        <f>SUMPRODUCT(('Employee Database'!C4:C53=A22)*('Employee Database'!P4:P53="Yes"))</f>
        <v>1</v>
      </c>
    </row>
    <row r="23" spans="1:8" ht="15" customHeight="1" x14ac:dyDescent="0.3">
      <c r="A23" s="36" t="s">
        <v>16</v>
      </c>
      <c r="B23" s="18">
        <f>COUNTIF('Employee Database'!C4:C53,A23)</f>
        <v>5</v>
      </c>
      <c r="C23" s="21">
        <f>AVERAGEIF('Employee Database'!C4:C53,A23,'Employee Database'!M4:M53)</f>
        <v>72.72</v>
      </c>
      <c r="D23" s="20">
        <f>AVERAGEIF('Employee Database'!C4:C53,A23,'Employee Database'!N4:N53)</f>
        <v>0.86419999999999997</v>
      </c>
      <c r="E23" s="19">
        <f>SUMIF('Employee Database'!C4:C53,A23,'Employee Database'!K4:K53)</f>
        <v>545646</v>
      </c>
      <c r="F23" s="18">
        <f>SUMPRODUCT(('Employee Database'!C4:C53=A23)*('Employee Database'!P4:P53="Yes"))</f>
        <v>1</v>
      </c>
    </row>
    <row r="24" spans="1:8" ht="15" customHeight="1" x14ac:dyDescent="0.3">
      <c r="A24" s="41" t="s">
        <v>17</v>
      </c>
      <c r="B24" s="23">
        <f>COUNTIF('Employee Database'!C4:C53,A24)</f>
        <v>6</v>
      </c>
      <c r="C24" s="26">
        <f>AVERAGEIF('Employee Database'!C4:C53,A24,'Employee Database'!M4:M53)</f>
        <v>87.716666666666683</v>
      </c>
      <c r="D24" s="25">
        <f>AVERAGEIF('Employee Database'!C4:C53,A24,'Employee Database'!N4:N53)</f>
        <v>0.86649999999999994</v>
      </c>
      <c r="E24" s="24">
        <f>SUMIF('Employee Database'!C4:C53,A24,'Employee Database'!K4:K53)</f>
        <v>676158</v>
      </c>
      <c r="F24" s="23">
        <f>SUMPRODUCT(('Employee Database'!C4:C53=A24)*('Employee Database'!P4:P53="Yes"))</f>
        <v>5</v>
      </c>
    </row>
    <row r="25" spans="1:8" ht="15" customHeight="1" x14ac:dyDescent="0.3">
      <c r="A25" s="36" t="s">
        <v>18</v>
      </c>
      <c r="B25" s="18">
        <f>COUNTIF('Employee Database'!C4:C53,A25)</f>
        <v>6</v>
      </c>
      <c r="C25" s="21">
        <f>AVERAGEIF('Employee Database'!C4:C53,A25,'Employee Database'!M4:M53)</f>
        <v>75.149999999999991</v>
      </c>
      <c r="D25" s="20">
        <f>AVERAGEIF('Employee Database'!C4:C53,A25,'Employee Database'!N4:N53)</f>
        <v>0.90483333333333327</v>
      </c>
      <c r="E25" s="19">
        <f>SUMIF('Employee Database'!C4:C53,A25,'Employee Database'!K4:K53)</f>
        <v>1028202</v>
      </c>
      <c r="F25" s="18">
        <f>SUMPRODUCT(('Employee Database'!C4:C53=A25)*('Employee Database'!P4:P53="Yes"))</f>
        <v>1</v>
      </c>
    </row>
    <row r="26" spans="1:8" ht="15" customHeight="1" x14ac:dyDescent="0.3">
      <c r="A26" s="41" t="s">
        <v>19</v>
      </c>
      <c r="B26" s="23">
        <f>COUNTIF('Employee Database'!C4:C53,A26)</f>
        <v>4</v>
      </c>
      <c r="C26" s="26">
        <f>AVERAGEIF('Employee Database'!C4:C53,A26,'Employee Database'!M4:M53)</f>
        <v>84.025000000000006</v>
      </c>
      <c r="D26" s="25">
        <f>AVERAGEIF('Employee Database'!C4:C53,A26,'Employee Database'!N4:N53)</f>
        <v>0.89575000000000005</v>
      </c>
      <c r="E26" s="24">
        <f>SUMIF('Employee Database'!C4:C53,A26,'Employee Database'!K4:K53)</f>
        <v>614178</v>
      </c>
      <c r="F26" s="23">
        <f>SUMPRODUCT(('Employee Database'!C4:C53=A26)*('Employee Database'!P4:P53="Yes"))</f>
        <v>2</v>
      </c>
    </row>
  </sheetData>
  <mergeCells count="20">
    <mergeCell ref="A16:N16"/>
    <mergeCell ref="A2:N2"/>
    <mergeCell ref="G11:H14"/>
    <mergeCell ref="C5:D8"/>
    <mergeCell ref="A17:H17"/>
    <mergeCell ref="A4:B4"/>
    <mergeCell ref="G4:H4"/>
    <mergeCell ref="A11:B14"/>
    <mergeCell ref="E5:F8"/>
    <mergeCell ref="A10:B10"/>
    <mergeCell ref="G5:H8"/>
    <mergeCell ref="A1:N1"/>
    <mergeCell ref="C4:D4"/>
    <mergeCell ref="E4:F4"/>
    <mergeCell ref="C11:D14"/>
    <mergeCell ref="C10:D10"/>
    <mergeCell ref="E11:F14"/>
    <mergeCell ref="A5:B8"/>
    <mergeCell ref="E10:F10"/>
    <mergeCell ref="G10:H1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D7D31"/>
  </sheetPr>
  <dimension ref="A1:H20"/>
  <sheetViews>
    <sheetView showGridLines="0" tabSelected="1" zoomScaleNormal="100" workbookViewId="0">
      <selection sqref="A1:H1"/>
    </sheetView>
  </sheetViews>
  <sheetFormatPr defaultColWidth="8.6640625" defaultRowHeight="14.4" x14ac:dyDescent="0.3"/>
  <cols>
    <col min="1" max="1" width="18" customWidth="1"/>
    <col min="2" max="4" width="14" customWidth="1"/>
    <col min="5" max="5" width="12" customWidth="1"/>
    <col min="6" max="6" width="14" customWidth="1"/>
    <col min="7" max="7" width="16" customWidth="1"/>
    <col min="8" max="8" width="14" customWidth="1"/>
  </cols>
  <sheetData>
    <row r="1" spans="1:8" ht="33.75" customHeight="1" x14ac:dyDescent="0.3">
      <c r="A1" s="45" t="s">
        <v>242</v>
      </c>
      <c r="B1" s="46"/>
      <c r="C1" s="46"/>
      <c r="D1" s="46"/>
      <c r="E1" s="46"/>
      <c r="F1" s="46"/>
      <c r="G1" s="46"/>
      <c r="H1" s="46"/>
    </row>
    <row r="3" spans="1:8" ht="15" customHeight="1" x14ac:dyDescent="0.3">
      <c r="A3" s="50" t="s">
        <v>243</v>
      </c>
      <c r="B3" s="46"/>
      <c r="C3" s="46"/>
      <c r="D3" s="46"/>
      <c r="E3" s="46"/>
      <c r="F3" s="46"/>
      <c r="G3" s="46"/>
      <c r="H3" s="46"/>
    </row>
    <row r="4" spans="1:8" ht="23.25" customHeight="1" x14ac:dyDescent="0.3">
      <c r="A4" s="1" t="s">
        <v>27</v>
      </c>
      <c r="B4" s="1" t="s">
        <v>226</v>
      </c>
      <c r="C4" s="1" t="s">
        <v>244</v>
      </c>
      <c r="D4" s="1" t="s">
        <v>245</v>
      </c>
      <c r="E4" s="1" t="s">
        <v>232</v>
      </c>
      <c r="F4" s="1" t="s">
        <v>246</v>
      </c>
      <c r="G4" s="1" t="s">
        <v>247</v>
      </c>
      <c r="H4" s="1" t="s">
        <v>248</v>
      </c>
    </row>
    <row r="5" spans="1:8" ht="15" customHeight="1" x14ac:dyDescent="0.3">
      <c r="A5" s="36" t="s">
        <v>44</v>
      </c>
      <c r="B5" s="18">
        <f>COUNTIF('Employee Database'!E4:E53,A5)</f>
        <v>8</v>
      </c>
      <c r="C5" s="44">
        <v>47800</v>
      </c>
      <c r="D5" s="44">
        <v>64500</v>
      </c>
      <c r="E5" s="19">
        <f>AVERAGEIF('Employee Database'!E4:E53,A5,'Employee Database'!H4:H53)</f>
        <v>55650</v>
      </c>
      <c r="F5" s="44">
        <v>56400</v>
      </c>
      <c r="G5" s="44">
        <v>5054.84</v>
      </c>
      <c r="H5" s="19">
        <f>SUMIF('Employee Database'!E4:E53,A5,'Employee Database'!K4:K53)</f>
        <v>497863</v>
      </c>
    </row>
    <row r="6" spans="1:8" ht="15" customHeight="1" x14ac:dyDescent="0.3">
      <c r="A6" s="41" t="s">
        <v>85</v>
      </c>
      <c r="B6" s="23">
        <f>COUNTIF('Employee Database'!E4:E53,A6)</f>
        <v>8</v>
      </c>
      <c r="C6" s="44">
        <v>66800</v>
      </c>
      <c r="D6" s="44">
        <v>89600</v>
      </c>
      <c r="E6" s="24">
        <f>AVERAGEIF('Employee Database'!E4:E53,A6,'Employee Database'!H4:H53)</f>
        <v>79037.5</v>
      </c>
      <c r="F6" s="44">
        <v>79850</v>
      </c>
      <c r="G6" s="44">
        <v>10247.36</v>
      </c>
      <c r="H6" s="24">
        <f>SUMIF('Employee Database'!E4:E53,A6,'Employee Database'!K4:K53)</f>
        <v>739369</v>
      </c>
    </row>
    <row r="7" spans="1:8" ht="15" customHeight="1" x14ac:dyDescent="0.3">
      <c r="A7" s="36" t="s">
        <v>70</v>
      </c>
      <c r="B7" s="18">
        <f>COUNTIF('Employee Database'!E4:E53,A7)</f>
        <v>6</v>
      </c>
      <c r="C7" s="44">
        <v>91500</v>
      </c>
      <c r="D7" s="44">
        <v>124900</v>
      </c>
      <c r="E7" s="19">
        <f>AVERAGEIF('Employee Database'!E4:E53,A7,'Employee Database'!H4:H53)</f>
        <v>112866.66666666667</v>
      </c>
      <c r="F7" s="44">
        <v>116900</v>
      </c>
      <c r="G7" s="44">
        <v>12425.73</v>
      </c>
      <c r="H7" s="19">
        <f>SUMIF('Employee Database'!E4:E53,A7,'Employee Database'!K4:K53)</f>
        <v>711858</v>
      </c>
    </row>
    <row r="8" spans="1:8" ht="15" customHeight="1" x14ac:dyDescent="0.3">
      <c r="A8" s="41" t="s">
        <v>79</v>
      </c>
      <c r="B8" s="23">
        <f>COUNTIF('Employee Database'!E4:E53,A8)</f>
        <v>10</v>
      </c>
      <c r="C8" s="44">
        <v>115400</v>
      </c>
      <c r="D8" s="44">
        <v>147100</v>
      </c>
      <c r="E8" s="24">
        <f>AVERAGEIF('Employee Database'!E4:E53,A8,'Employee Database'!H4:H53)</f>
        <v>131950</v>
      </c>
      <c r="F8" s="44">
        <v>137300</v>
      </c>
      <c r="G8" s="44">
        <v>12687.9</v>
      </c>
      <c r="H8" s="24">
        <f>SUMIF('Employee Database'!E4:E53,A8,'Employee Database'!K4:K53)</f>
        <v>1482486</v>
      </c>
    </row>
    <row r="9" spans="1:8" ht="15" customHeight="1" x14ac:dyDescent="0.3">
      <c r="A9" s="36" t="s">
        <v>90</v>
      </c>
      <c r="B9" s="18">
        <f>COUNTIF('Employee Database'!E4:E53,A9)</f>
        <v>8</v>
      </c>
      <c r="C9" s="44">
        <v>122100</v>
      </c>
      <c r="D9" s="44">
        <v>168800</v>
      </c>
      <c r="E9" s="19">
        <f>AVERAGEIF('Employee Database'!E4:E53,A9,'Employee Database'!H4:H53)</f>
        <v>153887.5</v>
      </c>
      <c r="F9" s="44">
        <v>158400</v>
      </c>
      <c r="G9" s="44">
        <v>16067.93</v>
      </c>
      <c r="H9" s="19">
        <f>SUMIF('Employee Database'!E4:E53,A9,'Employee Database'!K4:K53)</f>
        <v>1379334</v>
      </c>
    </row>
    <row r="10" spans="1:8" ht="15" customHeight="1" x14ac:dyDescent="0.3">
      <c r="A10" s="41" t="s">
        <v>65</v>
      </c>
      <c r="B10" s="23">
        <f>COUNTIF('Employee Database'!E4:E53,A10)</f>
        <v>10</v>
      </c>
      <c r="C10" s="44">
        <v>163400</v>
      </c>
      <c r="D10" s="44">
        <v>215000</v>
      </c>
      <c r="E10" s="24">
        <f>AVERAGEIF('Employee Database'!E4:E53,A10,'Employee Database'!H4:H53)</f>
        <v>189640</v>
      </c>
      <c r="F10" s="44">
        <v>194400</v>
      </c>
      <c r="G10" s="44">
        <v>18455.66</v>
      </c>
      <c r="H10" s="24">
        <f>SUMIF('Employee Database'!E4:E53,A10,'Employee Database'!K4:K53)</f>
        <v>2099396</v>
      </c>
    </row>
    <row r="11" spans="1:8" ht="15" customHeight="1" x14ac:dyDescent="0.3">
      <c r="A11" s="27" t="s">
        <v>249</v>
      </c>
      <c r="B11" s="27">
        <f>SUM(B5:B10)</f>
        <v>50</v>
      </c>
      <c r="C11" s="28">
        <f>MIN('Employee Database'!H4:H53)</f>
        <v>47800</v>
      </c>
      <c r="D11" s="28">
        <f>MAX('Employee Database'!H4:H53)</f>
        <v>215000</v>
      </c>
      <c r="E11" s="28">
        <f>AVERAGE('Employee Database'!H4:H53)</f>
        <v>124034</v>
      </c>
      <c r="F11" s="28">
        <f>(C11+D11)/2</f>
        <v>131400</v>
      </c>
      <c r="G11" s="28">
        <f>STDEV('Employee Database'!H4:H53)</f>
        <v>48056.550913629726</v>
      </c>
      <c r="H11" s="28">
        <f>SUM('Employee Database'!K4:K53)</f>
        <v>6910306</v>
      </c>
    </row>
    <row r="14" spans="1:8" ht="15" customHeight="1" x14ac:dyDescent="0.3">
      <c r="A14" s="50" t="s">
        <v>250</v>
      </c>
      <c r="B14" s="46"/>
      <c r="C14" s="46"/>
      <c r="D14" s="46"/>
      <c r="E14" s="46"/>
      <c r="F14" s="46"/>
      <c r="G14" s="46"/>
      <c r="H14" s="46"/>
    </row>
    <row r="15" spans="1:8" ht="23.25" customHeight="1" x14ac:dyDescent="0.3">
      <c r="A15" s="1" t="s">
        <v>251</v>
      </c>
      <c r="B15" s="1" t="s">
        <v>252</v>
      </c>
      <c r="C15" s="1" t="s">
        <v>235</v>
      </c>
      <c r="D15" s="1" t="s">
        <v>253</v>
      </c>
      <c r="E15" s="1" t="s">
        <v>228</v>
      </c>
      <c r="F15" s="1" t="s">
        <v>254</v>
      </c>
      <c r="G15" s="1" t="s">
        <v>237</v>
      </c>
      <c r="H15" s="1" t="s">
        <v>255</v>
      </c>
    </row>
    <row r="16" spans="1:8" ht="15" customHeight="1" x14ac:dyDescent="0.3">
      <c r="A16" s="36" t="s">
        <v>256</v>
      </c>
      <c r="B16" s="36" t="s">
        <v>257</v>
      </c>
      <c r="C16" s="18">
        <f>COUNTIF('Employee Database'!Q4:Q53,A16)</f>
        <v>8</v>
      </c>
      <c r="D16" s="20">
        <f>C16/50</f>
        <v>0.16</v>
      </c>
      <c r="E16" s="21">
        <f>AVERAGEIF('Employee Database'!Q4:Q53,A16,'Employee Database'!M4:M53)</f>
        <v>74.774999999999991</v>
      </c>
      <c r="F16" s="20">
        <f>AVERAGEIF('Employee Database'!Q4:Q53,A16,'Employee Database'!N4:N53)</f>
        <v>0.92574999999999996</v>
      </c>
      <c r="G16" s="19">
        <f>AVERAGEIF('Employee Database'!Q4:Q53,A16,'Employee Database'!K4:K53)</f>
        <v>62232.875</v>
      </c>
      <c r="H16" s="18">
        <f>SUMPRODUCT(('Employee Database'!Q4:Q53=A16)*('Employee Database'!P4:P53="Yes"))</f>
        <v>2</v>
      </c>
    </row>
    <row r="17" spans="1:8" ht="15" customHeight="1" x14ac:dyDescent="0.3">
      <c r="A17" s="41" t="s">
        <v>258</v>
      </c>
      <c r="B17" s="41" t="s">
        <v>259</v>
      </c>
      <c r="C17" s="23">
        <f>COUNTIF('Employee Database'!Q4:Q53,A17)</f>
        <v>8</v>
      </c>
      <c r="D17" s="25">
        <f>C17/50</f>
        <v>0.16</v>
      </c>
      <c r="E17" s="26">
        <f>AVERAGEIF('Employee Database'!Q4:Q53,A17,'Employee Database'!M4:M53)</f>
        <v>76.262499999999989</v>
      </c>
      <c r="F17" s="25">
        <f>AVERAGEIF('Employee Database'!Q4:Q53,A17,'Employee Database'!N4:N53)</f>
        <v>0.90362500000000012</v>
      </c>
      <c r="G17" s="24">
        <f>AVERAGEIF('Employee Database'!Q4:Q53,A17,'Employee Database'!K4:K53)</f>
        <v>92421.125</v>
      </c>
      <c r="H17" s="23">
        <f>SUMPRODUCT(('Employee Database'!Q4:Q53=A17)*('Employee Database'!P4:P53="Yes"))</f>
        <v>3</v>
      </c>
    </row>
    <row r="18" spans="1:8" ht="15" customHeight="1" x14ac:dyDescent="0.3">
      <c r="A18" s="36" t="s">
        <v>260</v>
      </c>
      <c r="B18" s="36" t="s">
        <v>261</v>
      </c>
      <c r="C18" s="18">
        <f>COUNTIF('Employee Database'!Q4:Q53,A18)</f>
        <v>6</v>
      </c>
      <c r="D18" s="20">
        <f>C18/50</f>
        <v>0.12</v>
      </c>
      <c r="E18" s="21">
        <f>AVERAGEIF('Employee Database'!Q4:Q53,A18,'Employee Database'!M4:M53)</f>
        <v>70.566666666666663</v>
      </c>
      <c r="F18" s="20">
        <f>AVERAGEIF('Employee Database'!Q4:Q53,A18,'Employee Database'!N4:N53)</f>
        <v>0.89416666666666655</v>
      </c>
      <c r="G18" s="19">
        <f>AVERAGEIF('Employee Database'!Q4:Q53,A18,'Employee Database'!K4:K53)</f>
        <v>118643</v>
      </c>
      <c r="H18" s="18">
        <f>SUMPRODUCT(('Employee Database'!Q4:Q53=A18)*('Employee Database'!P4:P53="Yes"))</f>
        <v>0</v>
      </c>
    </row>
    <row r="19" spans="1:8" ht="15" customHeight="1" x14ac:dyDescent="0.3">
      <c r="A19" s="41" t="s">
        <v>81</v>
      </c>
      <c r="B19" s="41" t="s">
        <v>262</v>
      </c>
      <c r="C19" s="23">
        <f>COUNTIF('Employee Database'!Q4:Q53,A19)</f>
        <v>21</v>
      </c>
      <c r="D19" s="25">
        <f>C19/50</f>
        <v>0.42</v>
      </c>
      <c r="E19" s="26">
        <f>AVERAGEIF('Employee Database'!Q4:Q53,A19,'Employee Database'!M4:M53)</f>
        <v>75.8</v>
      </c>
      <c r="F19" s="25">
        <f>AVERAGEIF('Employee Database'!Q4:Q53,A19,'Employee Database'!N4:N53)</f>
        <v>0.88771428571428557</v>
      </c>
      <c r="G19" s="24">
        <f>AVERAGEIF('Employee Database'!Q4:Q53,A19,'Employee Database'!K4:K53)</f>
        <v>162823.23809523811</v>
      </c>
      <c r="H19" s="23">
        <f>SUMPRODUCT(('Employee Database'!Q4:Q53=A19)*('Employee Database'!P4:P53="Yes"))</f>
        <v>6</v>
      </c>
    </row>
    <row r="20" spans="1:8" ht="15" customHeight="1" x14ac:dyDescent="0.3">
      <c r="A20" s="36" t="s">
        <v>263</v>
      </c>
      <c r="B20" s="36" t="s">
        <v>264</v>
      </c>
      <c r="C20" s="18">
        <f>COUNTIF('Employee Database'!Q4:Q53,A20)</f>
        <v>7</v>
      </c>
      <c r="D20" s="20">
        <f>C20/50</f>
        <v>0.14000000000000001</v>
      </c>
      <c r="E20" s="21">
        <f>AVERAGEIF('Employee Database'!Q4:Q53,A20,'Employee Database'!M4:M53)</f>
        <v>77.871428571428581</v>
      </c>
      <c r="F20" s="20">
        <f>AVERAGEIF('Employee Database'!Q4:Q53,A20,'Employee Database'!N4:N53)</f>
        <v>0.89228571428571435</v>
      </c>
      <c r="G20" s="19">
        <f>AVERAGEIF('Employee Database'!Q4:Q53,A20,'Employee Database'!K4:K53)</f>
        <v>220275.42857142858</v>
      </c>
      <c r="H20" s="18">
        <f>SUMPRODUCT(('Employee Database'!Q4:Q53=A20)*('Employee Database'!P4:P53="Yes"))</f>
        <v>1</v>
      </c>
    </row>
  </sheetData>
  <mergeCells count="3">
    <mergeCell ref="A3:H3"/>
    <mergeCell ref="A14:H14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Database</vt:lpstr>
      <vt:lpstr>Department Summary</vt:lpstr>
      <vt:lpstr>Performance Analytics</vt:lpstr>
      <vt:lpstr>Executive Dashboard</vt:lpstr>
      <vt:lpstr>Salary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PRABIN KUMAR KHALKHO</cp:lastModifiedBy>
  <cp:revision>3</cp:revision>
  <dcterms:created xsi:type="dcterms:W3CDTF">2026-04-02T16:52:52Z</dcterms:created>
  <dcterms:modified xsi:type="dcterms:W3CDTF">2026-04-10T16:57:35Z</dcterms:modified>
  <dc:language>en-US</dc:language>
</cp:coreProperties>
</file>